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arketing-Science-Strategy-Video+\(17) Streaming Economics tradeoffs\"/>
    </mc:Choice>
  </mc:AlternateContent>
  <xr:revisionPtr revIDLastSave="0" documentId="13_ncr:1_{A8228E66-EB74-4918-9100-5DA48868CC3D}" xr6:coauthVersionLast="47" xr6:coauthVersionMax="47" xr10:uidLastSave="{00000000-0000-0000-0000-000000000000}"/>
  <bookViews>
    <workbookView xWindow="-100" yWindow="-100" windowWidth="28557" windowHeight="11443" tabRatio="879" activeTab="6" xr2:uid="{EE503BBE-CF85-4A3C-B753-770C02911BA8}"/>
  </bookViews>
  <sheets>
    <sheet name="novos_usuarios_ult-7-meses" sheetId="1" r:id="rId1"/>
    <sheet name="planos-assinados-ult-7-meses" sheetId="2" r:id="rId2"/>
    <sheet name="assinantes-ativos-mensais" sheetId="3" r:id="rId3"/>
    <sheet name="TOFU + BOFU Metrics" sheetId="4" r:id="rId4"/>
    <sheet name="Funnel Analytics" sheetId="7" r:id="rId5"/>
    <sheet name="Marketing Budget Optimizer" sheetId="6" r:id="rId6"/>
    <sheet name="PNL Analysi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8" l="1"/>
  <c r="I21" i="8"/>
  <c r="I20" i="8"/>
  <c r="I19" i="8"/>
  <c r="I18" i="8"/>
  <c r="I17" i="8"/>
  <c r="I16" i="8"/>
  <c r="I7" i="8"/>
  <c r="I5" i="8"/>
  <c r="I4" i="8"/>
  <c r="I12" i="8"/>
  <c r="H12" i="8"/>
  <c r="I6" i="8"/>
  <c r="F4" i="6"/>
  <c r="I4" i="6" s="1"/>
  <c r="G19" i="6"/>
  <c r="L19" i="6" s="1"/>
  <c r="G18" i="6"/>
  <c r="L18" i="6" s="1"/>
  <c r="G17" i="6"/>
  <c r="L17" i="6" s="1"/>
  <c r="G16" i="6"/>
  <c r="L16" i="6" s="1"/>
  <c r="G15" i="6"/>
  <c r="J19" i="6"/>
  <c r="K19" i="6" s="1"/>
  <c r="M19" i="6" s="1"/>
  <c r="K18" i="6"/>
  <c r="M18" i="6" s="1"/>
  <c r="K17" i="6"/>
  <c r="M17" i="6" s="1"/>
  <c r="K16" i="6"/>
  <c r="K15" i="6"/>
  <c r="G7" i="6"/>
  <c r="G8" i="6"/>
  <c r="G9" i="6"/>
  <c r="G10" i="6"/>
  <c r="L10" i="6" s="1"/>
  <c r="G11" i="6"/>
  <c r="J3" i="6"/>
  <c r="I3" i="6"/>
  <c r="H3" i="6"/>
  <c r="F3" i="6"/>
  <c r="G3" i="6"/>
  <c r="L9" i="6"/>
  <c r="J11" i="6"/>
  <c r="K11" i="6" s="1"/>
  <c r="K10" i="6"/>
  <c r="M10" i="6" s="1"/>
  <c r="K9" i="6"/>
  <c r="K8" i="6"/>
  <c r="K7" i="6"/>
  <c r="G2" i="4"/>
  <c r="K6" i="4"/>
  <c r="K7" i="4"/>
  <c r="K8" i="4"/>
  <c r="K9" i="4"/>
  <c r="K5" i="4"/>
  <c r="J6" i="4"/>
  <c r="J7" i="4"/>
  <c r="J8" i="4"/>
  <c r="J9" i="4"/>
  <c r="J5" i="4"/>
  <c r="G9" i="4"/>
  <c r="I6" i="4"/>
  <c r="I7" i="4"/>
  <c r="I8" i="4"/>
  <c r="I5" i="4"/>
  <c r="H9" i="4"/>
  <c r="I9" i="4" s="1"/>
  <c r="H6" i="4"/>
  <c r="H7" i="4"/>
  <c r="H8" i="4"/>
  <c r="H5" i="4"/>
  <c r="E2" i="4"/>
  <c r="B9" i="3"/>
  <c r="H62" i="3"/>
  <c r="F36" i="2"/>
  <c r="F31" i="2"/>
  <c r="F26" i="2"/>
  <c r="F21" i="2"/>
  <c r="F16" i="2"/>
  <c r="F17" i="2"/>
  <c r="F11" i="2"/>
  <c r="F6" i="2"/>
  <c r="H61" i="3"/>
  <c r="H56" i="3"/>
  <c r="H51" i="3"/>
  <c r="H46" i="3"/>
  <c r="H41" i="3"/>
  <c r="H36" i="3"/>
  <c r="H31" i="3"/>
  <c r="H26" i="3"/>
  <c r="H21" i="3"/>
  <c r="H16" i="3"/>
  <c r="H11" i="3"/>
  <c r="H6" i="3"/>
  <c r="H7" i="3"/>
  <c r="H8" i="3"/>
  <c r="H9" i="3"/>
  <c r="H10" i="3"/>
  <c r="H12" i="3"/>
  <c r="H13" i="3"/>
  <c r="H14" i="3"/>
  <c r="H15" i="3"/>
  <c r="H17" i="3"/>
  <c r="H18" i="3"/>
  <c r="H19" i="3"/>
  <c r="H20" i="3"/>
  <c r="H22" i="3"/>
  <c r="H23" i="3"/>
  <c r="H24" i="3"/>
  <c r="H25" i="3"/>
  <c r="H27" i="3"/>
  <c r="H28" i="3"/>
  <c r="H29" i="3"/>
  <c r="H30" i="3"/>
  <c r="H32" i="3"/>
  <c r="H33" i="3"/>
  <c r="H34" i="3"/>
  <c r="H35" i="3"/>
  <c r="H37" i="3"/>
  <c r="H38" i="3"/>
  <c r="H39" i="3"/>
  <c r="H40" i="3"/>
  <c r="H42" i="3"/>
  <c r="H43" i="3"/>
  <c r="H44" i="3"/>
  <c r="H45" i="3"/>
  <c r="H47" i="3"/>
  <c r="H48" i="3"/>
  <c r="H49" i="3"/>
  <c r="H50" i="3"/>
  <c r="H52" i="3"/>
  <c r="H53" i="3"/>
  <c r="H54" i="3"/>
  <c r="H55" i="3"/>
  <c r="H57" i="3"/>
  <c r="H58" i="3"/>
  <c r="H59" i="3"/>
  <c r="H60" i="3"/>
  <c r="B3" i="3"/>
  <c r="F3" i="3" s="1"/>
  <c r="F35" i="2"/>
  <c r="F34" i="2"/>
  <c r="F33" i="2"/>
  <c r="F32" i="2"/>
  <c r="F30" i="2"/>
  <c r="F29" i="2"/>
  <c r="F28" i="2"/>
  <c r="F27" i="2"/>
  <c r="F25" i="2"/>
  <c r="F24" i="2"/>
  <c r="F23" i="2"/>
  <c r="F22" i="2"/>
  <c r="F20" i="2"/>
  <c r="F19" i="2"/>
  <c r="F18" i="2"/>
  <c r="F15" i="2"/>
  <c r="F14" i="2"/>
  <c r="F13" i="2"/>
  <c r="F12" i="2"/>
  <c r="F10" i="2"/>
  <c r="F9" i="2"/>
  <c r="F8" i="2"/>
  <c r="F7" i="2"/>
  <c r="F5" i="2"/>
  <c r="F4" i="2"/>
  <c r="F3" i="2"/>
  <c r="F2" i="2"/>
  <c r="B9" i="1"/>
  <c r="I15" i="8" l="1"/>
  <c r="M7" i="6"/>
  <c r="M16" i="6"/>
  <c r="H4" i="6"/>
  <c r="M15" i="6" s="1"/>
  <c r="L7" i="6"/>
  <c r="L8" i="6"/>
  <c r="L11" i="6"/>
  <c r="N19" i="6"/>
  <c r="N16" i="6"/>
  <c r="M20" i="6"/>
  <c r="L4" i="6" s="1"/>
  <c r="N10" i="6"/>
  <c r="M8" i="6"/>
  <c r="M12" i="6" s="1"/>
  <c r="M9" i="6"/>
  <c r="N9" i="6" s="1"/>
  <c r="M11" i="6"/>
  <c r="F5" i="3"/>
  <c r="F2" i="3"/>
  <c r="F4" i="3"/>
  <c r="H5" i="3"/>
  <c r="H3" i="3"/>
  <c r="H4" i="3"/>
  <c r="H2" i="3"/>
  <c r="L3" i="6" l="1"/>
  <c r="M4" i="6"/>
  <c r="N11" i="6"/>
  <c r="L12" i="6"/>
  <c r="C3" i="6" s="1"/>
  <c r="N8" i="6"/>
  <c r="N7" i="6"/>
  <c r="L15" i="6"/>
  <c r="N15" i="6" l="1"/>
  <c r="L20" i="6"/>
  <c r="N12" i="6"/>
  <c r="N3" i="6"/>
  <c r="C4" i="6" l="1"/>
  <c r="N4" i="6" s="1"/>
  <c r="N20" i="6"/>
</calcChain>
</file>

<file path=xl/sharedStrings.xml><?xml version="1.0" encoding="utf-8"?>
<sst xmlns="http://schemas.openxmlformats.org/spreadsheetml/2006/main" count="377" uniqueCount="164">
  <si>
    <t>2025-08</t>
  </si>
  <si>
    <t>2025-09</t>
  </si>
  <si>
    <t>2025-10</t>
  </si>
  <si>
    <t>2025-11</t>
  </si>
  <si>
    <t>2025-12</t>
  </si>
  <si>
    <t>2026-01</t>
  </si>
  <si>
    <t>2026-02</t>
  </si>
  <si>
    <t>média</t>
  </si>
  <si>
    <t>ANO-MÊS</t>
  </si>
  <si>
    <t>QUANTIDADE NOVOS USUARIOS</t>
  </si>
  <si>
    <t>TIPO DE PLANO</t>
  </si>
  <si>
    <t>QTD NOVOS ASSINANTES</t>
  </si>
  <si>
    <t>Assinatura R$</t>
  </si>
  <si>
    <t>Tx Churn %</t>
  </si>
  <si>
    <t>LTV Bruto R$</t>
  </si>
  <si>
    <t>plano familia</t>
  </si>
  <si>
    <t>plano HBO</t>
  </si>
  <si>
    <t>plano premiere</t>
  </si>
  <si>
    <t>plano TELECINE</t>
  </si>
  <si>
    <t>MAU Médio último 12 M</t>
  </si>
  <si>
    <t>Plano Familia</t>
  </si>
  <si>
    <t>Plano HBO</t>
  </si>
  <si>
    <t>Plano Premiere</t>
  </si>
  <si>
    <t>Plano TELECINE</t>
  </si>
  <si>
    <t>Percentual assinantes ativos</t>
  </si>
  <si>
    <t>Assinantes ativos por mês</t>
  </si>
  <si>
    <t>% de assinantes por plano</t>
  </si>
  <si>
    <t>TIPO PLANO</t>
  </si>
  <si>
    <t>TOTAL ASSINANTES</t>
  </si>
  <si>
    <t>compras/alugueis</t>
  </si>
  <si>
    <t>compras / alugueis</t>
  </si>
  <si>
    <t>RECEITA : 
ASSINATURA + ALUGUEL</t>
  </si>
  <si>
    <t>VALOR:  ASSINATURA/ALUGUEL</t>
  </si>
  <si>
    <t>Receita Total Anual</t>
  </si>
  <si>
    <t>Aquisição usuarios por mês</t>
  </si>
  <si>
    <t>Aquisição Organica</t>
  </si>
  <si>
    <t>Aquisição Paga</t>
  </si>
  <si>
    <t>Conversão Compra/Aluguel</t>
  </si>
  <si>
    <t>Conversão Assinatura</t>
  </si>
  <si>
    <t>Compras + Alugueis</t>
  </si>
  <si>
    <t>Tipo de Usuário</t>
  </si>
  <si>
    <t>ICP (resumo comportamental)</t>
  </si>
  <si>
    <t>CAC Google Ads</t>
  </si>
  <si>
    <t>CAC Meta Ads</t>
  </si>
  <si>
    <t>CAC TikTok Ads</t>
  </si>
  <si>
    <t>LTV/CAC (Meta)</t>
  </si>
  <si>
    <t>LTV/CAC (TikTok)</t>
  </si>
  <si>
    <t>Plano Família</t>
  </si>
  <si>
    <t>família, bundle seeker, alto valor percebido</t>
  </si>
  <si>
    <t>fã de futebol, alta urgência (jogo ao vivo)</t>
  </si>
  <si>
    <t>cinéfilo/series, baixa urgência</t>
  </si>
  <si>
    <t>Plano Telecine</t>
  </si>
  <si>
    <t>consumidor ocasional de filmes</t>
  </si>
  <si>
    <t>Compras + Aluguéis</t>
  </si>
  <si>
    <t>consumo impulsivo (TVOD)</t>
  </si>
  <si>
    <t>Tx Churn / mês</t>
  </si>
  <si>
    <t>Valor Assinatura / Aluguel</t>
  </si>
  <si>
    <t>LTV Bruto (R$)</t>
  </si>
  <si>
    <t xml:space="preserve">LTV/CAC (Google) </t>
  </si>
  <si>
    <t>Intenção</t>
  </si>
  <si>
    <t>Melhor Canal</t>
  </si>
  <si>
    <t>CAC Esperado</t>
  </si>
  <si>
    <t>Por quê</t>
  </si>
  <si>
    <t>Meta Ads</t>
  </si>
  <si>
    <t>R$ 70 – 120</t>
  </si>
  <si>
    <t>storytelling + remarketing</t>
  </si>
  <si>
    <t>alta</t>
  </si>
  <si>
    <t>Google Ads</t>
  </si>
  <si>
    <t>R$ 45 – 80</t>
  </si>
  <si>
    <t>demanda direta (jogo)</t>
  </si>
  <si>
    <t>média/baixa</t>
  </si>
  <si>
    <t>R$ 80 – 130</t>
  </si>
  <si>
    <t>descoberta</t>
  </si>
  <si>
    <t>R$ 75 – 120</t>
  </si>
  <si>
    <t>consumo ocasional</t>
  </si>
  <si>
    <t>baixa/impulso</t>
  </si>
  <si>
    <t>TikTok Ads</t>
  </si>
  <si>
    <t>R$ 15 – 45</t>
  </si>
  <si>
    <t>comportamento impulsivo</t>
  </si>
  <si>
    <t>ATIVAÇÃO
(MAU → Engajamento inicial)</t>
  </si>
  <si>
    <t>AQUISIÇÃO
(Traffic / MAU growth)</t>
  </si>
  <si>
    <t>EXPERIÊNCIA DE CONTEÚDO 
(Engajamento real)</t>
  </si>
  <si>
    <t>INTENÇÃO DE ALUGUEL/ASSINATURA</t>
  </si>
  <si>
    <t>CONVERSÃO (Ativação paga)</t>
  </si>
  <si>
    <t>RETENÇÃO (pós-assinatura)</t>
  </si>
  <si>
    <r>
      <rPr>
        <b/>
        <sz val="11"/>
        <color theme="1"/>
        <rFont val="Aptos Narrow"/>
        <family val="2"/>
        <scheme val="minor"/>
      </rPr>
      <t>Objetivo: trazer usuários</t>
    </r>
    <r>
      <rPr>
        <sz val="11"/>
        <color theme="1"/>
        <rFont val="Aptos Narrow"/>
        <family val="2"/>
        <scheme val="minor"/>
      </rPr>
      <t xml:space="preserve">
Etapas:
Impressão (Ads / Orgânico)
Clique
Landing / App install
Primeiro acesso (MAU)
KPIs:
CTR
CPI / CAC (aquisição)
% novos MAU
Drop-offs típicos:
criativo ruim → baixo CTR
fricção no install/login
app pesado / crash</t>
    </r>
  </si>
  <si>
    <r>
      <rPr>
        <b/>
        <sz val="10"/>
        <color theme="1"/>
        <rFont val="Aptos Narrow"/>
        <family val="2"/>
        <scheme val="minor"/>
      </rPr>
      <t>Objetivo: fazer o usuário “ver valor”</t>
    </r>
    <r>
      <rPr>
        <sz val="10"/>
        <color theme="1"/>
        <rFont val="Aptos Narrow"/>
        <family val="2"/>
        <scheme val="minor"/>
      </rPr>
      <t xml:space="preserve">
Etapas:
Cadastro/login
Primeira navegação
Primeiro play (conteúdo iniciado)
KPIs:
% MAU → play
Time to first play
sessões por usuário
Drop-offs críticos:
usuário entra e não dá play
catálogo confuso
recomendação ruim
👉 esse é um dos MAIORES gargalos normalmente</t>
    </r>
  </si>
  <si>
    <r>
      <rPr>
        <b/>
        <sz val="11"/>
        <color theme="1"/>
        <rFont val="Aptos Narrow"/>
        <family val="2"/>
        <scheme val="minor"/>
      </rPr>
      <t>Objetivo: criar hábito</t>
    </r>
    <r>
      <rPr>
        <sz val="11"/>
        <color theme="1"/>
        <rFont val="Aptos Narrow"/>
        <family val="2"/>
        <scheme val="minor"/>
      </rPr>
      <t xml:space="preserve">
Etapas:
1º conteúdo → 2º conteúdo
minutos assistidos
frequência semanal
KPIs:
Watch time
conteúdos por sessão
D1 / D7 retention
Drop-offs:
conteúdo não engaja
buffering / UX ruim
falta de continuidade</t>
    </r>
  </si>
  <si>
    <r>
      <rPr>
        <b/>
        <sz val="11"/>
        <color theme="1"/>
        <rFont val="Aptos Narrow"/>
        <family val="2"/>
        <scheme val="minor"/>
      </rPr>
      <t>Objetivo: levar o usuário até o paywall</t>
    </r>
    <r>
      <rPr>
        <sz val="11"/>
        <color theme="1"/>
        <rFont val="Aptos Narrow"/>
        <family val="2"/>
        <scheme val="minor"/>
      </rPr>
      <t xml:space="preserve">
Etapas:
visita página de plano
clique em “assinar”
seleção de plano
KPIs:
% MAU → paywall
CTR paywall
plano mais clicado
Drop-offs:
preço percebido alto
falta de clareza de valor
excesso de opções</t>
    </r>
  </si>
  <si>
    <r>
      <rPr>
        <b/>
        <sz val="11"/>
        <color theme="1"/>
        <rFont val="Aptos Narrow"/>
        <family val="2"/>
        <scheme val="minor"/>
      </rPr>
      <t>Objetivo: transformar em assinante</t>
    </r>
    <r>
      <rPr>
        <sz val="11"/>
        <color theme="1"/>
        <rFont val="Aptos Narrow"/>
        <family val="2"/>
        <scheme val="minor"/>
      </rPr>
      <t xml:space="preserve">
Etapas:
seleção plano
cadastro pagamento
aprovação pagamento
KPIs:
taxa de conversão (você já tem ~19%)
falha de pagamento
abandono de checkout
Drop-offs críticos:
fricção no pagamento
falta de trial
surpresa de preço
👉 esse é o gargalo que você já identificou</t>
    </r>
  </si>
  <si>
    <r>
      <rPr>
        <b/>
        <sz val="11"/>
        <color theme="1"/>
        <rFont val="Aptos Narrow"/>
        <family val="2"/>
        <scheme val="minor"/>
      </rPr>
      <t>Objetivo: manter assinante</t>
    </r>
    <r>
      <rPr>
        <sz val="11"/>
        <color theme="1"/>
        <rFont val="Aptos Narrow"/>
        <family val="2"/>
        <scheme val="minor"/>
      </rPr>
      <t xml:space="preserve">
Etapas:
uso contínuo
consumo recorrente
renovação
KPIs:
churn (7–12% no seu caso)
sessões/mês
conteúdo consumido
Drop-offs:
assinante não usa
conteúdo não renova interesse</t>
    </r>
  </si>
  <si>
    <t>Churn 8% a 12% mensal  (dependendo do plano)</t>
  </si>
  <si>
    <t>Taxa Ativação -&gt; Conversão</t>
  </si>
  <si>
    <t>Drop off ATIVAÇÃO --&gt; CONVERSÃO de 81%</t>
  </si>
  <si>
    <t>ROAS REAL = CAC/LTV de 3x a 5x estimado</t>
  </si>
  <si>
    <t>Assinantes Ativados</t>
  </si>
  <si>
    <t>Taxa Ativação Assinantes</t>
  </si>
  <si>
    <t>Investimento mensal Marketing (atual)</t>
  </si>
  <si>
    <t>CAC Aquisição Esperado</t>
  </si>
  <si>
    <t>CAC Assinante Esperado</t>
  </si>
  <si>
    <t>Alugadores/Compradores Ativados</t>
  </si>
  <si>
    <t>Assinantes Plano Familia Ativados</t>
  </si>
  <si>
    <t>Assinantes Plano Premiere Ativados</t>
  </si>
  <si>
    <t>Assinantes Plano HBO Ativados</t>
  </si>
  <si>
    <t>Assinantes Plano Telecine Ativados</t>
  </si>
  <si>
    <t>Investimento Campanha</t>
  </si>
  <si>
    <t>Retorno Campanha</t>
  </si>
  <si>
    <t>ROAS</t>
  </si>
  <si>
    <t>Atual</t>
  </si>
  <si>
    <t>Optimized</t>
  </si>
  <si>
    <t>Totais</t>
  </si>
  <si>
    <t>Scenario</t>
  </si>
  <si>
    <t>Retorno Investimento mensal</t>
  </si>
  <si>
    <t>Incremento Otimização</t>
  </si>
  <si>
    <t>N/A</t>
  </si>
  <si>
    <t>No 4K (HD/SD only)</t>
  </si>
  <si>
    <t>~35 subscription plans</t>
  </si>
  <si>
    <t>CDN-based delivery</t>
  </si>
  <si>
    <t>Average Monthly Active Users</t>
  </si>
  <si>
    <t>Total number of playback per month</t>
  </si>
  <si>
    <t>Total VOD contents on catalog</t>
  </si>
  <si>
    <t>Total LIVE channels on catalog</t>
  </si>
  <si>
    <t>Video content quality</t>
  </si>
  <si>
    <t>Number of commercial offers</t>
  </si>
  <si>
    <t>Churn rate (monthly)</t>
  </si>
  <si>
    <t>Content Distribution Technology</t>
  </si>
  <si>
    <t>9%–12%</t>
  </si>
  <si>
    <t>Platform characteristics</t>
  </si>
  <si>
    <t>Costs Structure</t>
  </si>
  <si>
    <t>Engineering</t>
  </si>
  <si>
    <t>Domain</t>
  </si>
  <si>
    <t>Description</t>
  </si>
  <si>
    <t>1.1</t>
  </si>
  <si>
    <t>Backend + BFF + Frontend squads</t>
  </si>
  <si>
    <t>FTEs</t>
  </si>
  <si>
    <t>Total Cost (month)</t>
  </si>
  <si>
    <t>Cloud &amp; Backend Infra</t>
  </si>
  <si>
    <t>APIs, ingestion, storage</t>
  </si>
  <si>
    <t>CDN (Largest Cost Driver)</t>
  </si>
  <si>
    <t>Video delivery (HD streaming)</t>
  </si>
  <si>
    <t>Data &amp; Analytics</t>
  </si>
  <si>
    <t>Pipelines, tracking, BI</t>
  </si>
  <si>
    <t>Content</t>
  </si>
  <si>
    <t>Product</t>
  </si>
  <si>
    <t>Marketing/Growth</t>
  </si>
  <si>
    <t>Admin</t>
  </si>
  <si>
    <t>HR, IT, FINOPS, etc ...</t>
  </si>
  <si>
    <t>Total</t>
  </si>
  <si>
    <t>App experience (TV, mobile, web), Features (continue watching, ...), UX/UI (home, navigation)</t>
  </si>
  <si>
    <t>Paid media (Google, Meta, YouTube), Acquisition (TOFU), Retargeting, CRM (email, push)</t>
  </si>
  <si>
    <t>Suply Side, Licensing (Telecine, Universal+, Premiere), Catalog strategy, Content mix (movies, sports, series)</t>
  </si>
  <si>
    <t>Revenue Structure</t>
  </si>
  <si>
    <t>Total Revenue (month)</t>
  </si>
  <si>
    <t>Subscription</t>
  </si>
  <si>
    <t>Purchases</t>
  </si>
  <si>
    <t>Rentals</t>
  </si>
  <si>
    <t>% Assinantes plano familia</t>
  </si>
  <si>
    <t>% Assinantes plano HBO</t>
  </si>
  <si>
    <t>% Assinantes plano Premiere</t>
  </si>
  <si>
    <t>% Assinantes plano Telecine</t>
  </si>
  <si>
    <t>% Usuarios Compras/Alugueis</t>
  </si>
  <si>
    <t>1.2</t>
  </si>
  <si>
    <t>1.3</t>
  </si>
  <si>
    <t>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</si>
</sst>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R$&quot;\ #,##0;[Red]\-&quot;R$&quot;\ #,##0"/>
    <numFmt numFmtId="44" formatCode="_-&quot;R$&quot;\ * #,##0.00_-;\-&quot;R$&quot;\ * #,##0.00_-;_-&quot;R$&quot;\ * &quot;-&quot;??_-;_-@_-"/>
    <numFmt numFmtId="164" formatCode="&quot;R$&quot;\ #,##0"/>
    <numFmt numFmtId="165" formatCode="&quot;R$&quot;\ #,##0.00"/>
    <numFmt numFmtId="166" formatCode="#\x"/>
    <numFmt numFmtId="169" formatCode="#,###.00\x"/>
    <numFmt numFmtId="177" formatCode="0.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3"/>
      </bottom>
      <diagonal/>
    </border>
    <border>
      <left style="thin">
        <color indexed="64"/>
      </left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 style="thin">
        <color theme="3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3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13" fillId="33" borderId="0" xfId="0" applyFont="1" applyFill="1" applyAlignment="1">
      <alignment horizontal="center" vertical="center"/>
    </xf>
    <xf numFmtId="0" fontId="13" fillId="33" borderId="0" xfId="0" applyFont="1" applyFill="1" applyAlignment="1">
      <alignment horizontal="center" vertical="center" wrapText="1"/>
    </xf>
    <xf numFmtId="0" fontId="13" fillId="33" borderId="0" xfId="0" applyFont="1" applyFill="1"/>
    <xf numFmtId="3" fontId="13" fillId="33" borderId="0" xfId="0" applyNumberFormat="1" applyFont="1" applyFill="1"/>
    <xf numFmtId="0" fontId="13" fillId="33" borderId="0" xfId="0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3" fontId="0" fillId="34" borderId="10" xfId="0" applyNumberFormat="1" applyFill="1" applyBorder="1"/>
    <xf numFmtId="9" fontId="0" fillId="34" borderId="10" xfId="0" applyNumberFormat="1" applyFill="1" applyBorder="1"/>
    <xf numFmtId="9" fontId="0" fillId="34" borderId="11" xfId="0" applyNumberFormat="1" applyFill="1" applyBorder="1"/>
    <xf numFmtId="9" fontId="0" fillId="34" borderId="13" xfId="0" applyNumberFormat="1" applyFill="1" applyBorder="1"/>
    <xf numFmtId="3" fontId="0" fillId="34" borderId="12" xfId="0" applyNumberFormat="1" applyFill="1" applyBorder="1"/>
    <xf numFmtId="0" fontId="0" fillId="34" borderId="14" xfId="0" applyFill="1" applyBorder="1"/>
    <xf numFmtId="3" fontId="0" fillId="34" borderId="14" xfId="0" applyNumberFormat="1" applyFill="1" applyBorder="1"/>
    <xf numFmtId="0" fontId="0" fillId="34" borderId="14" xfId="0" applyFill="1" applyBorder="1" applyAlignment="1">
      <alignment horizontal="center" vertical="center"/>
    </xf>
    <xf numFmtId="3" fontId="0" fillId="34" borderId="14" xfId="0" applyNumberFormat="1" applyFill="1" applyBorder="1" applyAlignment="1">
      <alignment horizontal="right" vertical="center"/>
    </xf>
    <xf numFmtId="4" fontId="0" fillId="34" borderId="14" xfId="0" applyNumberFormat="1" applyFill="1" applyBorder="1"/>
    <xf numFmtId="17" fontId="0" fillId="34" borderId="14" xfId="0" applyNumberFormat="1" applyFill="1" applyBorder="1" applyAlignment="1">
      <alignment horizontal="center" vertical="center"/>
    </xf>
    <xf numFmtId="3" fontId="0" fillId="34" borderId="14" xfId="0" applyNumberFormat="1" applyFill="1" applyBorder="1" applyAlignment="1">
      <alignment horizontal="right" vertical="center" indent="4"/>
    </xf>
    <xf numFmtId="164" fontId="0" fillId="34" borderId="14" xfId="0" applyNumberFormat="1" applyFill="1" applyBorder="1" applyAlignment="1">
      <alignment horizontal="right" vertical="center" indent="4"/>
    </xf>
    <xf numFmtId="164" fontId="13" fillId="33" borderId="0" xfId="0" applyNumberFormat="1" applyFont="1" applyFill="1" applyAlignment="1">
      <alignment horizontal="left" vertical="center" indent="3"/>
    </xf>
    <xf numFmtId="3" fontId="0" fillId="34" borderId="12" xfId="0" applyNumberFormat="1" applyFill="1" applyBorder="1" applyAlignment="1">
      <alignment horizontal="center" vertical="center"/>
    </xf>
    <xf numFmtId="9" fontId="0" fillId="34" borderId="10" xfId="0" applyNumberFormat="1" applyFill="1" applyBorder="1" applyAlignment="1">
      <alignment horizontal="center" vertical="center"/>
    </xf>
    <xf numFmtId="1" fontId="0" fillId="34" borderId="13" xfId="0" applyNumberForma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" fontId="0" fillId="34" borderId="15" xfId="0" applyNumberFormat="1" applyFill="1" applyBorder="1" applyAlignment="1">
      <alignment horizontal="center" vertical="center"/>
    </xf>
    <xf numFmtId="9" fontId="0" fillId="34" borderId="14" xfId="0" applyNumberFormat="1" applyFill="1" applyBorder="1"/>
    <xf numFmtId="1" fontId="0" fillId="34" borderId="10" xfId="0" applyNumberFormat="1" applyFill="1" applyBorder="1" applyAlignment="1">
      <alignment horizontal="center" vertical="center"/>
    </xf>
    <xf numFmtId="0" fontId="16" fillId="35" borderId="14" xfId="0" applyFont="1" applyFill="1" applyBorder="1" applyAlignment="1">
      <alignment vertical="center" wrapText="1"/>
    </xf>
    <xf numFmtId="0" fontId="0" fillId="35" borderId="14" xfId="0" applyFill="1" applyBorder="1" applyAlignment="1">
      <alignment vertical="center" wrapText="1"/>
    </xf>
    <xf numFmtId="6" fontId="16" fillId="35" borderId="14" xfId="0" applyNumberFormat="1" applyFont="1" applyFill="1" applyBorder="1" applyAlignment="1">
      <alignment horizontal="center" vertical="center" wrapText="1"/>
    </xf>
    <xf numFmtId="9" fontId="16" fillId="35" borderId="14" xfId="0" applyNumberFormat="1" applyFont="1" applyFill="1" applyBorder="1" applyAlignment="1">
      <alignment horizontal="center" vertical="center"/>
    </xf>
    <xf numFmtId="165" fontId="16" fillId="35" borderId="14" xfId="0" applyNumberFormat="1" applyFont="1" applyFill="1" applyBorder="1" applyAlignment="1">
      <alignment horizontal="center" vertical="center" wrapText="1"/>
    </xf>
    <xf numFmtId="9" fontId="16" fillId="35" borderId="14" xfId="42" applyFont="1" applyFill="1" applyBorder="1" applyAlignment="1">
      <alignment horizontal="center" vertical="center"/>
    </xf>
    <xf numFmtId="1" fontId="16" fillId="35" borderId="14" xfId="0" applyNumberFormat="1" applyFont="1" applyFill="1" applyBorder="1" applyAlignment="1">
      <alignment horizontal="center" vertical="center" wrapText="1"/>
    </xf>
    <xf numFmtId="6" fontId="16" fillId="36" borderId="14" xfId="0" applyNumberFormat="1" applyFont="1" applyFill="1" applyBorder="1" applyAlignment="1">
      <alignment horizontal="center" vertical="center" wrapText="1"/>
    </xf>
    <xf numFmtId="1" fontId="16" fillId="36" borderId="14" xfId="0" applyNumberFormat="1" applyFont="1" applyFill="1" applyBorder="1" applyAlignment="1">
      <alignment horizontal="center" vertical="center" wrapText="1"/>
    </xf>
    <xf numFmtId="9" fontId="0" fillId="34" borderId="14" xfId="0" applyNumberFormat="1" applyFill="1" applyBorder="1" applyAlignment="1">
      <alignment horizontal="center" vertical="center"/>
    </xf>
    <xf numFmtId="0" fontId="13" fillId="33" borderId="14" xfId="0" applyFont="1" applyFill="1" applyBorder="1" applyAlignment="1">
      <alignment horizontal="center" vertical="center"/>
    </xf>
    <xf numFmtId="0" fontId="0" fillId="33" borderId="0" xfId="0" applyFill="1"/>
    <xf numFmtId="165" fontId="16" fillId="35" borderId="16" xfId="0" applyNumberFormat="1" applyFont="1" applyFill="1" applyBorder="1" applyAlignment="1">
      <alignment horizontal="center" vertical="center" wrapText="1"/>
    </xf>
    <xf numFmtId="0" fontId="0" fillId="35" borderId="14" xfId="0" applyFill="1" applyBorder="1" applyAlignment="1">
      <alignment horizontal="center" vertical="center" wrapText="1"/>
    </xf>
    <xf numFmtId="165" fontId="0" fillId="35" borderId="14" xfId="0" applyNumberFormat="1" applyFill="1" applyBorder="1" applyAlignment="1">
      <alignment horizontal="center" vertical="center" wrapText="1"/>
    </xf>
    <xf numFmtId="0" fontId="16" fillId="35" borderId="14" xfId="0" applyFont="1" applyFill="1" applyBorder="1" applyAlignment="1">
      <alignment horizontal="center" vertical="center" wrapText="1"/>
    </xf>
    <xf numFmtId="9" fontId="0" fillId="34" borderId="17" xfId="0" applyNumberFormat="1" applyFill="1" applyBorder="1" applyAlignment="1">
      <alignment horizontal="center"/>
    </xf>
    <xf numFmtId="0" fontId="0" fillId="34" borderId="17" xfId="0" applyFill="1" applyBorder="1" applyAlignment="1">
      <alignment horizontal="center"/>
    </xf>
    <xf numFmtId="3" fontId="0" fillId="34" borderId="18" xfId="0" applyNumberForma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center" vertical="center"/>
    </xf>
    <xf numFmtId="165" fontId="16" fillId="34" borderId="10" xfId="0" applyNumberFormat="1" applyFont="1" applyFill="1" applyBorder="1" applyAlignment="1">
      <alignment horizontal="right" vertical="center" indent="3"/>
    </xf>
    <xf numFmtId="3" fontId="0" fillId="34" borderId="19" xfId="0" applyNumberFormat="1" applyFill="1" applyBorder="1" applyAlignment="1">
      <alignment horizontal="center" vertical="center"/>
    </xf>
    <xf numFmtId="3" fontId="0" fillId="34" borderId="17" xfId="0" applyNumberFormat="1" applyFill="1" applyBorder="1" applyAlignment="1">
      <alignment horizontal="center"/>
    </xf>
    <xf numFmtId="6" fontId="16" fillId="44" borderId="10" xfId="0" applyNumberFormat="1" applyFont="1" applyFill="1" applyBorder="1"/>
    <xf numFmtId="165" fontId="16" fillId="44" borderId="10" xfId="0" applyNumberFormat="1" applyFont="1" applyFill="1" applyBorder="1"/>
    <xf numFmtId="0" fontId="16" fillId="44" borderId="10" xfId="0" applyFont="1" applyFill="1" applyBorder="1" applyAlignment="1">
      <alignment horizontal="center"/>
    </xf>
    <xf numFmtId="0" fontId="13" fillId="33" borderId="20" xfId="0" applyFont="1" applyFill="1" applyBorder="1" applyAlignment="1">
      <alignment horizontal="center" vertical="center"/>
    </xf>
    <xf numFmtId="0" fontId="13" fillId="33" borderId="21" xfId="0" applyFont="1" applyFill="1" applyBorder="1" applyAlignment="1">
      <alignment horizontal="center" vertical="center" wrapText="1"/>
    </xf>
    <xf numFmtId="0" fontId="13" fillId="33" borderId="22" xfId="0" applyFont="1" applyFill="1" applyBorder="1" applyAlignment="1">
      <alignment horizontal="center" vertical="center" wrapText="1"/>
    </xf>
    <xf numFmtId="0" fontId="16" fillId="38" borderId="23" xfId="0" applyFont="1" applyFill="1" applyBorder="1" applyAlignment="1">
      <alignment horizontal="center" vertical="center"/>
    </xf>
    <xf numFmtId="166" fontId="16" fillId="34" borderId="24" xfId="0" applyNumberFormat="1" applyFont="1" applyFill="1" applyBorder="1" applyAlignment="1">
      <alignment horizontal="center" vertical="center"/>
    </xf>
    <xf numFmtId="0" fontId="0" fillId="38" borderId="25" xfId="0" applyFill="1" applyBorder="1"/>
    <xf numFmtId="0" fontId="0" fillId="33" borderId="26" xfId="0" applyFill="1" applyBorder="1"/>
    <xf numFmtId="0" fontId="13" fillId="33" borderId="26" xfId="0" applyFont="1" applyFill="1" applyBorder="1" applyAlignment="1">
      <alignment horizontal="center"/>
    </xf>
    <xf numFmtId="0" fontId="13" fillId="42" borderId="23" xfId="0" applyFont="1" applyFill="1" applyBorder="1" applyAlignment="1">
      <alignment horizontal="center" vertical="center"/>
    </xf>
    <xf numFmtId="0" fontId="0" fillId="42" borderId="25" xfId="0" applyFill="1" applyBorder="1"/>
    <xf numFmtId="0" fontId="13" fillId="33" borderId="21" xfId="0" applyFont="1" applyFill="1" applyBorder="1" applyAlignment="1">
      <alignment vertical="center" wrapText="1"/>
    </xf>
    <xf numFmtId="0" fontId="13" fillId="33" borderId="29" xfId="0" applyFont="1" applyFill="1" applyBorder="1" applyAlignment="1">
      <alignment horizontal="center" vertical="center" wrapText="1"/>
    </xf>
    <xf numFmtId="0" fontId="16" fillId="38" borderId="30" xfId="0" applyFont="1" applyFill="1" applyBorder="1" applyAlignment="1">
      <alignment horizontal="center" vertical="center"/>
    </xf>
    <xf numFmtId="169" fontId="16" fillId="44" borderId="24" xfId="0" applyNumberFormat="1" applyFont="1" applyFill="1" applyBorder="1" applyAlignment="1">
      <alignment horizontal="center" vertical="center"/>
    </xf>
    <xf numFmtId="0" fontId="13" fillId="42" borderId="31" xfId="0" applyFont="1" applyFill="1" applyBorder="1" applyAlignment="1">
      <alignment horizontal="center" vertical="center"/>
    </xf>
    <xf numFmtId="6" fontId="16" fillId="44" borderId="27" xfId="0" applyNumberFormat="1" applyFont="1" applyFill="1" applyBorder="1"/>
    <xf numFmtId="3" fontId="0" fillId="34" borderId="27" xfId="0" applyNumberFormat="1" applyFill="1" applyBorder="1" applyAlignment="1">
      <alignment horizontal="center" vertical="center"/>
    </xf>
    <xf numFmtId="9" fontId="0" fillId="34" borderId="27" xfId="0" applyNumberFormat="1" applyFill="1" applyBorder="1" applyAlignment="1">
      <alignment horizontal="center"/>
    </xf>
    <xf numFmtId="3" fontId="0" fillId="34" borderId="27" xfId="0" applyNumberFormat="1" applyFill="1" applyBorder="1" applyAlignment="1">
      <alignment horizontal="center"/>
    </xf>
    <xf numFmtId="0" fontId="0" fillId="34" borderId="27" xfId="0" applyFill="1" applyBorder="1" applyAlignment="1">
      <alignment horizontal="center"/>
    </xf>
    <xf numFmtId="3" fontId="0" fillId="34" borderId="32" xfId="0" applyNumberFormat="1" applyFill="1" applyBorder="1" applyAlignment="1">
      <alignment horizontal="center" vertical="center"/>
    </xf>
    <xf numFmtId="165" fontId="16" fillId="44" borderId="27" xfId="0" applyNumberFormat="1" applyFont="1" applyFill="1" applyBorder="1"/>
    <xf numFmtId="9" fontId="16" fillId="44" borderId="27" xfId="42" applyFont="1" applyFill="1" applyBorder="1" applyAlignment="1">
      <alignment horizontal="center"/>
    </xf>
    <xf numFmtId="169" fontId="16" fillId="44" borderId="28" xfId="0" applyNumberFormat="1" applyFont="1" applyFill="1" applyBorder="1" applyAlignment="1">
      <alignment horizontal="center" vertical="center"/>
    </xf>
    <xf numFmtId="165" fontId="16" fillId="34" borderId="10" xfId="0" applyNumberFormat="1" applyFont="1" applyFill="1" applyBorder="1" applyAlignment="1">
      <alignment horizontal="right" vertical="center" indent="2"/>
    </xf>
    <xf numFmtId="0" fontId="16" fillId="35" borderId="14" xfId="0" applyFont="1" applyFill="1" applyBorder="1" applyAlignment="1">
      <alignment horizontal="left" vertical="center" wrapText="1" indent="1"/>
    </xf>
    <xf numFmtId="165" fontId="16" fillId="44" borderId="27" xfId="0" applyNumberFormat="1" applyFont="1" applyFill="1" applyBorder="1" applyAlignment="1">
      <alignment horizontal="right" indent="3"/>
    </xf>
    <xf numFmtId="165" fontId="16" fillId="44" borderId="27" xfId="0" applyNumberFormat="1" applyFont="1" applyFill="1" applyBorder="1" applyAlignment="1">
      <alignment horizontal="right" indent="2"/>
    </xf>
    <xf numFmtId="166" fontId="16" fillId="44" borderId="28" xfId="0" applyNumberFormat="1" applyFont="1" applyFill="1" applyBorder="1" applyAlignment="1">
      <alignment horizontal="center" vertical="center"/>
    </xf>
    <xf numFmtId="0" fontId="0" fillId="34" borderId="0" xfId="0" applyFill="1"/>
    <xf numFmtId="3" fontId="0" fillId="34" borderId="10" xfId="0" applyNumberFormat="1" applyFill="1" applyBorder="1" applyAlignment="1">
      <alignment horizontal="right" vertical="center"/>
    </xf>
    <xf numFmtId="0" fontId="0" fillId="34" borderId="10" xfId="0" applyFill="1" applyBorder="1" applyAlignment="1">
      <alignment horizontal="right" vertical="center"/>
    </xf>
    <xf numFmtId="44" fontId="0" fillId="34" borderId="0" xfId="0" applyNumberFormat="1" applyFill="1"/>
    <xf numFmtId="0" fontId="16" fillId="44" borderId="0" xfId="0" applyFont="1" applyFill="1"/>
    <xf numFmtId="0" fontId="16" fillId="34" borderId="10" xfId="0" applyFont="1" applyFill="1" applyBorder="1"/>
    <xf numFmtId="44" fontId="0" fillId="34" borderId="0" xfId="0" applyNumberFormat="1" applyFont="1" applyFill="1"/>
    <xf numFmtId="0" fontId="0" fillId="33" borderId="0" xfId="0" applyFill="1" applyAlignment="1">
      <alignment horizontal="center"/>
    </xf>
    <xf numFmtId="0" fontId="16" fillId="4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 applyAlignment="1">
      <alignment wrapText="1"/>
    </xf>
    <xf numFmtId="0" fontId="0" fillId="34" borderId="10" xfId="0" applyFill="1" applyBorder="1" applyAlignment="1">
      <alignment vertical="top" wrapText="1"/>
    </xf>
    <xf numFmtId="0" fontId="18" fillId="34" borderId="10" xfId="0" applyFont="1" applyFill="1" applyBorder="1" applyAlignment="1">
      <alignment vertical="top" wrapText="1"/>
    </xf>
    <xf numFmtId="0" fontId="0" fillId="34" borderId="10" xfId="0" applyFill="1" applyBorder="1" applyAlignment="1">
      <alignment wrapText="1"/>
    </xf>
    <xf numFmtId="0" fontId="13" fillId="33" borderId="33" xfId="0" applyFont="1" applyFill="1" applyBorder="1" applyAlignment="1">
      <alignment vertical="center" wrapText="1"/>
    </xf>
    <xf numFmtId="0" fontId="13" fillId="33" borderId="34" xfId="0" applyFont="1" applyFill="1" applyBorder="1" applyAlignment="1">
      <alignment wrapText="1"/>
    </xf>
    <xf numFmtId="0" fontId="13" fillId="33" borderId="34" xfId="0" applyFont="1" applyFill="1" applyBorder="1" applyAlignment="1">
      <alignment vertical="top"/>
    </xf>
    <xf numFmtId="0" fontId="13" fillId="33" borderId="35" xfId="0" applyFont="1" applyFill="1" applyBorder="1" applyAlignment="1">
      <alignment vertical="top"/>
    </xf>
    <xf numFmtId="0" fontId="0" fillId="34" borderId="30" xfId="0" applyFill="1" applyBorder="1" applyAlignment="1">
      <alignment vertical="top" wrapText="1"/>
    </xf>
    <xf numFmtId="0" fontId="0" fillId="34" borderId="24" xfId="0" applyFill="1" applyBorder="1" applyAlignment="1">
      <alignment vertical="top" wrapText="1"/>
    </xf>
    <xf numFmtId="0" fontId="16" fillId="37" borderId="31" xfId="0" applyFont="1" applyFill="1" applyBorder="1"/>
    <xf numFmtId="0" fontId="0" fillId="38" borderId="27" xfId="0" applyFill="1" applyBorder="1"/>
    <xf numFmtId="0" fontId="0" fillId="39" borderId="27" xfId="0" applyFill="1" applyBorder="1"/>
    <xf numFmtId="0" fontId="16" fillId="40" borderId="27" xfId="0" applyFont="1" applyFill="1" applyBorder="1"/>
    <xf numFmtId="0" fontId="16" fillId="41" borderId="28" xfId="0" applyFont="1" applyFill="1" applyBorder="1"/>
    <xf numFmtId="44" fontId="13" fillId="33" borderId="0" xfId="0" applyNumberFormat="1" applyFont="1" applyFill="1"/>
    <xf numFmtId="0" fontId="16" fillId="45" borderId="0" xfId="0" applyFont="1" applyFill="1"/>
    <xf numFmtId="44" fontId="16" fillId="45" borderId="0" xfId="0" applyNumberFormat="1" applyFont="1" applyFill="1"/>
    <xf numFmtId="0" fontId="16" fillId="34" borderId="10" xfId="0" applyFont="1" applyFill="1" applyBorder="1" applyAlignment="1">
      <alignment horizontal="left" indent="1"/>
    </xf>
    <xf numFmtId="177" fontId="0" fillId="34" borderId="14" xfId="42" applyNumberFormat="1" applyFont="1" applyFill="1" applyBorder="1"/>
    <xf numFmtId="0" fontId="16" fillId="34" borderId="0" xfId="0" applyFont="1" applyFill="1"/>
    <xf numFmtId="0" fontId="0" fillId="34" borderId="0" xfId="0" applyFont="1" applyFill="1"/>
    <xf numFmtId="0" fontId="0" fillId="34" borderId="0" xfId="0" applyFill="1" applyAlignment="1">
      <alignment horizontal="left" indent="1"/>
    </xf>
    <xf numFmtId="0" fontId="0" fillId="34" borderId="0" xfId="0" applyFont="1" applyFill="1" applyAlignment="1">
      <alignment horizontal="left" indent="1"/>
    </xf>
    <xf numFmtId="0" fontId="16" fillId="43" borderId="0" xfId="0" applyFont="1" applyFill="1"/>
    <xf numFmtId="0" fontId="16" fillId="43" borderId="0" xfId="0" applyFont="1" applyFill="1" applyAlignment="1">
      <alignment horizontal="center"/>
    </xf>
    <xf numFmtId="44" fontId="16" fillId="43" borderId="0" xfId="0" applyNumberFormat="1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B035C-17D0-4299-934C-BD4D0F94AAFD}">
  <dimension ref="A1:B9"/>
  <sheetViews>
    <sheetView workbookViewId="0">
      <selection activeCell="E7" sqref="E7"/>
    </sheetView>
  </sheetViews>
  <sheetFormatPr defaultRowHeight="14.4" x14ac:dyDescent="0.3"/>
  <cols>
    <col min="1" max="1" width="14.3984375" customWidth="1"/>
    <col min="2" max="2" width="18.09765625" customWidth="1"/>
  </cols>
  <sheetData>
    <row r="1" spans="1:2" ht="28.8" x14ac:dyDescent="0.3">
      <c r="A1" s="1" t="s">
        <v>8</v>
      </c>
      <c r="B1" s="2" t="s">
        <v>9</v>
      </c>
    </row>
    <row r="2" spans="1:2" x14ac:dyDescent="0.3">
      <c r="A2" s="12" t="s">
        <v>0</v>
      </c>
      <c r="B2" s="13">
        <v>101126</v>
      </c>
    </row>
    <row r="3" spans="1:2" x14ac:dyDescent="0.3">
      <c r="A3" s="12" t="s">
        <v>1</v>
      </c>
      <c r="B3" s="13">
        <v>96091</v>
      </c>
    </row>
    <row r="4" spans="1:2" x14ac:dyDescent="0.3">
      <c r="A4" s="12" t="s">
        <v>2</v>
      </c>
      <c r="B4" s="13">
        <v>93911</v>
      </c>
    </row>
    <row r="5" spans="1:2" x14ac:dyDescent="0.3">
      <c r="A5" s="12" t="s">
        <v>3</v>
      </c>
      <c r="B5" s="13">
        <v>114136</v>
      </c>
    </row>
    <row r="6" spans="1:2" x14ac:dyDescent="0.3">
      <c r="A6" s="12" t="s">
        <v>4</v>
      </c>
      <c r="B6" s="13">
        <v>109961</v>
      </c>
    </row>
    <row r="7" spans="1:2" x14ac:dyDescent="0.3">
      <c r="A7" s="12" t="s">
        <v>5</v>
      </c>
      <c r="B7" s="13">
        <v>108147</v>
      </c>
    </row>
    <row r="8" spans="1:2" x14ac:dyDescent="0.3">
      <c r="A8" s="12" t="s">
        <v>6</v>
      </c>
      <c r="B8" s="13">
        <v>78419</v>
      </c>
    </row>
    <row r="9" spans="1:2" x14ac:dyDescent="0.3">
      <c r="A9" s="3" t="s">
        <v>7</v>
      </c>
      <c r="B9" s="4">
        <f>AVERAGE(B2:B8)</f>
        <v>100255.85714285714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6CD9-6A10-4CAF-B5C8-2CBD7BECDAD0}">
  <dimension ref="A1:F36"/>
  <sheetViews>
    <sheetView workbookViewId="0">
      <selection activeCell="C27" sqref="C27:C30"/>
    </sheetView>
  </sheetViews>
  <sheetFormatPr defaultRowHeight="14.4" x14ac:dyDescent="0.3"/>
  <cols>
    <col min="1" max="1" width="11.796875" customWidth="1"/>
    <col min="2" max="2" width="18.296875" customWidth="1"/>
    <col min="3" max="3" width="14.8984375" customWidth="1"/>
    <col min="4" max="4" width="12.5" customWidth="1"/>
    <col min="5" max="5" width="12.69921875" customWidth="1"/>
    <col min="6" max="6" width="16.5" customWidth="1"/>
  </cols>
  <sheetData>
    <row r="1" spans="1:6" ht="37.15" customHeight="1" x14ac:dyDescent="0.3">
      <c r="A1" s="1" t="s">
        <v>8</v>
      </c>
      <c r="B1" s="1" t="s">
        <v>10</v>
      </c>
      <c r="C1" s="2" t="s">
        <v>11</v>
      </c>
      <c r="D1" s="5" t="s">
        <v>12</v>
      </c>
      <c r="E1" s="1" t="s">
        <v>13</v>
      </c>
      <c r="F1" s="1" t="s">
        <v>14</v>
      </c>
    </row>
    <row r="2" spans="1:6" x14ac:dyDescent="0.3">
      <c r="A2" s="14" t="s">
        <v>0</v>
      </c>
      <c r="B2" s="14" t="s">
        <v>15</v>
      </c>
      <c r="C2" s="15">
        <v>5406</v>
      </c>
      <c r="D2" s="12">
        <v>121</v>
      </c>
      <c r="E2" s="12">
        <v>7.0000000000000007E-2</v>
      </c>
      <c r="F2" s="16">
        <f>C2*D2/E2</f>
        <v>9344657.1428571418</v>
      </c>
    </row>
    <row r="3" spans="1:6" x14ac:dyDescent="0.3">
      <c r="A3" s="14" t="s">
        <v>0</v>
      </c>
      <c r="B3" s="14" t="s">
        <v>16</v>
      </c>
      <c r="C3" s="15">
        <v>137</v>
      </c>
      <c r="D3" s="12">
        <v>40</v>
      </c>
      <c r="E3" s="12">
        <v>0.08</v>
      </c>
      <c r="F3" s="16">
        <f t="shared" ref="F3:F35" si="0">C3*D3/E3</f>
        <v>68500</v>
      </c>
    </row>
    <row r="4" spans="1:6" x14ac:dyDescent="0.3">
      <c r="A4" s="14" t="s">
        <v>0</v>
      </c>
      <c r="B4" s="14" t="s">
        <v>17</v>
      </c>
      <c r="C4" s="15">
        <v>725</v>
      </c>
      <c r="D4" s="12">
        <v>90</v>
      </c>
      <c r="E4" s="12">
        <v>0.09</v>
      </c>
      <c r="F4" s="16">
        <f t="shared" si="0"/>
        <v>725000</v>
      </c>
    </row>
    <row r="5" spans="1:6" x14ac:dyDescent="0.3">
      <c r="A5" s="14" t="s">
        <v>0</v>
      </c>
      <c r="B5" s="14" t="s">
        <v>18</v>
      </c>
      <c r="C5" s="15">
        <v>95</v>
      </c>
      <c r="D5" s="12">
        <v>40</v>
      </c>
      <c r="E5" s="12">
        <v>7.4999999999999997E-2</v>
      </c>
      <c r="F5" s="16">
        <f t="shared" si="0"/>
        <v>50666.666666666672</v>
      </c>
    </row>
    <row r="6" spans="1:6" x14ac:dyDescent="0.3">
      <c r="A6" s="14" t="s">
        <v>0</v>
      </c>
      <c r="B6" s="14" t="s">
        <v>30</v>
      </c>
      <c r="C6" s="15">
        <v>5000</v>
      </c>
      <c r="D6" s="12">
        <v>25</v>
      </c>
      <c r="E6" s="12"/>
      <c r="F6" s="16">
        <f>C6*D6</f>
        <v>125000</v>
      </c>
    </row>
    <row r="7" spans="1:6" x14ac:dyDescent="0.3">
      <c r="A7" s="14" t="s">
        <v>1</v>
      </c>
      <c r="B7" s="14" t="s">
        <v>15</v>
      </c>
      <c r="C7" s="15">
        <v>4672</v>
      </c>
      <c r="D7" s="12">
        <v>121</v>
      </c>
      <c r="E7" s="12">
        <v>7.0000000000000007E-2</v>
      </c>
      <c r="F7" s="16">
        <f t="shared" si="0"/>
        <v>8075885.7142857136</v>
      </c>
    </row>
    <row r="8" spans="1:6" x14ac:dyDescent="0.3">
      <c r="A8" s="14" t="s">
        <v>1</v>
      </c>
      <c r="B8" s="14" t="s">
        <v>16</v>
      </c>
      <c r="C8" s="15">
        <v>126</v>
      </c>
      <c r="D8" s="12">
        <v>40</v>
      </c>
      <c r="E8" s="12">
        <v>0.08</v>
      </c>
      <c r="F8" s="16">
        <f t="shared" si="0"/>
        <v>63000</v>
      </c>
    </row>
    <row r="9" spans="1:6" x14ac:dyDescent="0.3">
      <c r="A9" s="14" t="s">
        <v>1</v>
      </c>
      <c r="B9" s="14" t="s">
        <v>17</v>
      </c>
      <c r="C9" s="15">
        <v>607</v>
      </c>
      <c r="D9" s="12">
        <v>90</v>
      </c>
      <c r="E9" s="12">
        <v>0.09</v>
      </c>
      <c r="F9" s="16">
        <f t="shared" si="0"/>
        <v>607000</v>
      </c>
    </row>
    <row r="10" spans="1:6" x14ac:dyDescent="0.3">
      <c r="A10" s="14" t="s">
        <v>1</v>
      </c>
      <c r="B10" s="14" t="s">
        <v>18</v>
      </c>
      <c r="C10" s="15">
        <v>71</v>
      </c>
      <c r="D10" s="12">
        <v>40</v>
      </c>
      <c r="E10" s="12">
        <v>7.4999999999999997E-2</v>
      </c>
      <c r="F10" s="16">
        <f t="shared" si="0"/>
        <v>37866.666666666672</v>
      </c>
    </row>
    <row r="11" spans="1:6" x14ac:dyDescent="0.3">
      <c r="A11" s="14" t="s">
        <v>1</v>
      </c>
      <c r="B11" s="14" t="s">
        <v>30</v>
      </c>
      <c r="C11" s="15">
        <v>5000</v>
      </c>
      <c r="D11" s="12">
        <v>25</v>
      </c>
      <c r="E11" s="12"/>
      <c r="F11" s="16">
        <f>C11*D11</f>
        <v>125000</v>
      </c>
    </row>
    <row r="12" spans="1:6" x14ac:dyDescent="0.3">
      <c r="A12" s="14" t="s">
        <v>2</v>
      </c>
      <c r="B12" s="14" t="s">
        <v>15</v>
      </c>
      <c r="C12" s="15">
        <v>4218</v>
      </c>
      <c r="D12" s="12">
        <v>121</v>
      </c>
      <c r="E12" s="12">
        <v>7.0000000000000007E-2</v>
      </c>
      <c r="F12" s="16">
        <f t="shared" si="0"/>
        <v>7291114.2857142854</v>
      </c>
    </row>
    <row r="13" spans="1:6" x14ac:dyDescent="0.3">
      <c r="A13" s="14" t="s">
        <v>2</v>
      </c>
      <c r="B13" s="14" t="s">
        <v>16</v>
      </c>
      <c r="C13" s="15">
        <v>65</v>
      </c>
      <c r="D13" s="12">
        <v>40</v>
      </c>
      <c r="E13" s="12">
        <v>0.08</v>
      </c>
      <c r="F13" s="16">
        <f t="shared" si="0"/>
        <v>32500</v>
      </c>
    </row>
    <row r="14" spans="1:6" x14ac:dyDescent="0.3">
      <c r="A14" s="14" t="s">
        <v>2</v>
      </c>
      <c r="B14" s="14" t="s">
        <v>17</v>
      </c>
      <c r="C14" s="15">
        <v>698</v>
      </c>
      <c r="D14" s="12">
        <v>90</v>
      </c>
      <c r="E14" s="12">
        <v>0.09</v>
      </c>
      <c r="F14" s="16">
        <f t="shared" si="0"/>
        <v>698000</v>
      </c>
    </row>
    <row r="15" spans="1:6" x14ac:dyDescent="0.3">
      <c r="A15" s="14" t="s">
        <v>2</v>
      </c>
      <c r="B15" s="14" t="s">
        <v>18</v>
      </c>
      <c r="C15" s="15">
        <v>90</v>
      </c>
      <c r="D15" s="12">
        <v>40</v>
      </c>
      <c r="E15" s="12">
        <v>7.4999999999999997E-2</v>
      </c>
      <c r="F15" s="16">
        <f t="shared" si="0"/>
        <v>48000</v>
      </c>
    </row>
    <row r="16" spans="1:6" x14ac:dyDescent="0.3">
      <c r="A16" s="14" t="s">
        <v>2</v>
      </c>
      <c r="B16" s="14" t="s">
        <v>30</v>
      </c>
      <c r="C16" s="15">
        <v>5000</v>
      </c>
      <c r="D16" s="12">
        <v>25</v>
      </c>
      <c r="E16" s="12"/>
      <c r="F16" s="16">
        <f>C16*D16</f>
        <v>125000</v>
      </c>
    </row>
    <row r="17" spans="1:6" x14ac:dyDescent="0.3">
      <c r="A17" s="14" t="s">
        <v>3</v>
      </c>
      <c r="B17" s="14" t="s">
        <v>15</v>
      </c>
      <c r="C17" s="15">
        <v>8337</v>
      </c>
      <c r="D17" s="12">
        <v>121</v>
      </c>
      <c r="E17" s="12">
        <v>7.0000000000000007E-2</v>
      </c>
      <c r="F17" s="16">
        <f t="shared" si="0"/>
        <v>14411099.999999998</v>
      </c>
    </row>
    <row r="18" spans="1:6" x14ac:dyDescent="0.3">
      <c r="A18" s="14" t="s">
        <v>3</v>
      </c>
      <c r="B18" s="14" t="s">
        <v>16</v>
      </c>
      <c r="C18" s="15">
        <v>81</v>
      </c>
      <c r="D18" s="12">
        <v>40</v>
      </c>
      <c r="E18" s="12">
        <v>0.08</v>
      </c>
      <c r="F18" s="16">
        <f t="shared" si="0"/>
        <v>40500</v>
      </c>
    </row>
    <row r="19" spans="1:6" x14ac:dyDescent="0.3">
      <c r="A19" s="14" t="s">
        <v>3</v>
      </c>
      <c r="B19" s="14" t="s">
        <v>17</v>
      </c>
      <c r="C19" s="15">
        <v>850</v>
      </c>
      <c r="D19" s="12">
        <v>90</v>
      </c>
      <c r="E19" s="12">
        <v>0.09</v>
      </c>
      <c r="F19" s="16">
        <f t="shared" si="0"/>
        <v>850000</v>
      </c>
    </row>
    <row r="20" spans="1:6" x14ac:dyDescent="0.3">
      <c r="A20" s="14" t="s">
        <v>3</v>
      </c>
      <c r="B20" s="14" t="s">
        <v>18</v>
      </c>
      <c r="C20" s="15">
        <v>111</v>
      </c>
      <c r="D20" s="12">
        <v>40</v>
      </c>
      <c r="E20" s="12">
        <v>7.4999999999999997E-2</v>
      </c>
      <c r="F20" s="16">
        <f t="shared" si="0"/>
        <v>59200</v>
      </c>
    </row>
    <row r="21" spans="1:6" x14ac:dyDescent="0.3">
      <c r="A21" s="14" t="s">
        <v>3</v>
      </c>
      <c r="B21" s="14" t="s">
        <v>30</v>
      </c>
      <c r="C21" s="15">
        <v>5000</v>
      </c>
      <c r="D21" s="12">
        <v>25</v>
      </c>
      <c r="E21" s="12"/>
      <c r="F21" s="16">
        <f>C21*D21</f>
        <v>125000</v>
      </c>
    </row>
    <row r="22" spans="1:6" x14ac:dyDescent="0.3">
      <c r="A22" s="14" t="s">
        <v>4</v>
      </c>
      <c r="B22" s="14" t="s">
        <v>15</v>
      </c>
      <c r="C22" s="15">
        <v>10869</v>
      </c>
      <c r="D22" s="12">
        <v>121</v>
      </c>
      <c r="E22" s="12">
        <v>7.0000000000000007E-2</v>
      </c>
      <c r="F22" s="16">
        <f t="shared" si="0"/>
        <v>18787842.857142854</v>
      </c>
    </row>
    <row r="23" spans="1:6" x14ac:dyDescent="0.3">
      <c r="A23" s="14" t="s">
        <v>4</v>
      </c>
      <c r="B23" s="14" t="s">
        <v>16</v>
      </c>
      <c r="C23" s="15">
        <v>70</v>
      </c>
      <c r="D23" s="12">
        <v>40</v>
      </c>
      <c r="E23" s="12">
        <v>0.08</v>
      </c>
      <c r="F23" s="16">
        <f t="shared" si="0"/>
        <v>35000</v>
      </c>
    </row>
    <row r="24" spans="1:6" x14ac:dyDescent="0.3">
      <c r="A24" s="14" t="s">
        <v>4</v>
      </c>
      <c r="B24" s="14" t="s">
        <v>17</v>
      </c>
      <c r="C24" s="15">
        <v>355</v>
      </c>
      <c r="D24" s="12">
        <v>90</v>
      </c>
      <c r="E24" s="12">
        <v>0.09</v>
      </c>
      <c r="F24" s="16">
        <f t="shared" si="0"/>
        <v>355000</v>
      </c>
    </row>
    <row r="25" spans="1:6" x14ac:dyDescent="0.3">
      <c r="A25" s="14" t="s">
        <v>4</v>
      </c>
      <c r="B25" s="14" t="s">
        <v>18</v>
      </c>
      <c r="C25" s="15">
        <v>93</v>
      </c>
      <c r="D25" s="12">
        <v>40</v>
      </c>
      <c r="E25" s="12">
        <v>7.4999999999999997E-2</v>
      </c>
      <c r="F25" s="16">
        <f t="shared" si="0"/>
        <v>49600</v>
      </c>
    </row>
    <row r="26" spans="1:6" x14ac:dyDescent="0.3">
      <c r="A26" s="14" t="s">
        <v>4</v>
      </c>
      <c r="B26" s="14" t="s">
        <v>30</v>
      </c>
      <c r="C26" s="15">
        <v>5000</v>
      </c>
      <c r="D26" s="12">
        <v>25</v>
      </c>
      <c r="E26" s="12"/>
      <c r="F26" s="16">
        <f>C26*D26</f>
        <v>125000</v>
      </c>
    </row>
    <row r="27" spans="1:6" x14ac:dyDescent="0.3">
      <c r="A27" s="14" t="s">
        <v>5</v>
      </c>
      <c r="B27" s="14" t="s">
        <v>15</v>
      </c>
      <c r="C27" s="15">
        <v>12051</v>
      </c>
      <c r="D27" s="12">
        <v>121</v>
      </c>
      <c r="E27" s="12">
        <v>7.0000000000000007E-2</v>
      </c>
      <c r="F27" s="16">
        <f t="shared" si="0"/>
        <v>20831014.285714284</v>
      </c>
    </row>
    <row r="28" spans="1:6" x14ac:dyDescent="0.3">
      <c r="A28" s="14" t="s">
        <v>5</v>
      </c>
      <c r="B28" s="14" t="s">
        <v>16</v>
      </c>
      <c r="C28" s="15">
        <v>92</v>
      </c>
      <c r="D28" s="12">
        <v>40</v>
      </c>
      <c r="E28" s="12">
        <v>0.08</v>
      </c>
      <c r="F28" s="16">
        <f t="shared" si="0"/>
        <v>46000</v>
      </c>
    </row>
    <row r="29" spans="1:6" x14ac:dyDescent="0.3">
      <c r="A29" s="14" t="s">
        <v>5</v>
      </c>
      <c r="B29" s="14" t="s">
        <v>17</v>
      </c>
      <c r="C29" s="15">
        <v>1013</v>
      </c>
      <c r="D29" s="12">
        <v>90</v>
      </c>
      <c r="E29" s="12">
        <v>0.09</v>
      </c>
      <c r="F29" s="16">
        <f t="shared" si="0"/>
        <v>1013000</v>
      </c>
    </row>
    <row r="30" spans="1:6" x14ac:dyDescent="0.3">
      <c r="A30" s="14" t="s">
        <v>5</v>
      </c>
      <c r="B30" s="14" t="s">
        <v>18</v>
      </c>
      <c r="C30" s="15">
        <v>87</v>
      </c>
      <c r="D30" s="12">
        <v>40</v>
      </c>
      <c r="E30" s="12">
        <v>7.4999999999999997E-2</v>
      </c>
      <c r="F30" s="16">
        <f t="shared" si="0"/>
        <v>46400</v>
      </c>
    </row>
    <row r="31" spans="1:6" x14ac:dyDescent="0.3">
      <c r="A31" s="14" t="s">
        <v>5</v>
      </c>
      <c r="B31" s="14" t="s">
        <v>30</v>
      </c>
      <c r="C31" s="15">
        <v>5000</v>
      </c>
      <c r="D31" s="12">
        <v>25</v>
      </c>
      <c r="E31" s="12"/>
      <c r="F31" s="16">
        <f>C31*D31</f>
        <v>125000</v>
      </c>
    </row>
    <row r="32" spans="1:6" x14ac:dyDescent="0.3">
      <c r="A32" s="14" t="s">
        <v>6</v>
      </c>
      <c r="B32" s="14" t="s">
        <v>15</v>
      </c>
      <c r="C32" s="15">
        <v>11140</v>
      </c>
      <c r="D32" s="12">
        <v>121</v>
      </c>
      <c r="E32" s="12">
        <v>7.0000000000000007E-2</v>
      </c>
      <c r="F32" s="16">
        <f t="shared" si="0"/>
        <v>19256285.714285713</v>
      </c>
    </row>
    <row r="33" spans="1:6" x14ac:dyDescent="0.3">
      <c r="A33" s="14" t="s">
        <v>6</v>
      </c>
      <c r="B33" s="14" t="s">
        <v>16</v>
      </c>
      <c r="C33" s="15">
        <v>73</v>
      </c>
      <c r="D33" s="12">
        <v>40</v>
      </c>
      <c r="E33" s="12">
        <v>0.08</v>
      </c>
      <c r="F33" s="16">
        <f t="shared" si="0"/>
        <v>36500</v>
      </c>
    </row>
    <row r="34" spans="1:6" x14ac:dyDescent="0.3">
      <c r="A34" s="14" t="s">
        <v>6</v>
      </c>
      <c r="B34" s="14" t="s">
        <v>17</v>
      </c>
      <c r="C34" s="15">
        <v>776</v>
      </c>
      <c r="D34" s="12">
        <v>90</v>
      </c>
      <c r="E34" s="12">
        <v>0.09</v>
      </c>
      <c r="F34" s="16">
        <f t="shared" si="0"/>
        <v>776000</v>
      </c>
    </row>
    <row r="35" spans="1:6" x14ac:dyDescent="0.3">
      <c r="A35" s="14" t="s">
        <v>6</v>
      </c>
      <c r="B35" s="14" t="s">
        <v>18</v>
      </c>
      <c r="C35" s="15">
        <v>73</v>
      </c>
      <c r="D35" s="12">
        <v>40</v>
      </c>
      <c r="E35" s="12">
        <v>7.4999999999999997E-2</v>
      </c>
      <c r="F35" s="16">
        <f t="shared" si="0"/>
        <v>38933.333333333336</v>
      </c>
    </row>
    <row r="36" spans="1:6" x14ac:dyDescent="0.3">
      <c r="A36" s="14" t="s">
        <v>6</v>
      </c>
      <c r="B36" s="14" t="s">
        <v>30</v>
      </c>
      <c r="C36" s="15">
        <v>5000</v>
      </c>
      <c r="D36" s="12">
        <v>25</v>
      </c>
      <c r="E36" s="12"/>
      <c r="F36" s="16">
        <f>C36*D36</f>
        <v>125000</v>
      </c>
    </row>
  </sheetData>
  <pageMargins left="0.7" right="0.7" top="0.75" bottom="0.75" header="0.3" footer="0.3"/>
  <ignoredErrors>
    <ignoredError sqref="F6 F11 F16 F21 F26 F3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B88B-A00B-432A-8419-0C2FAB82DEF7}">
  <dimension ref="A1:H70"/>
  <sheetViews>
    <sheetView workbookViewId="0">
      <selection activeCell="B5" sqref="B5:B9"/>
    </sheetView>
  </sheetViews>
  <sheetFormatPr defaultRowHeight="14.4" x14ac:dyDescent="0.3"/>
  <cols>
    <col min="1" max="1" width="30.296875" customWidth="1"/>
    <col min="3" max="3" width="2.5" customWidth="1"/>
    <col min="4" max="4" width="17.296875" customWidth="1"/>
    <col min="5" max="5" width="18" customWidth="1"/>
    <col min="6" max="6" width="17.796875" customWidth="1"/>
    <col min="7" max="7" width="20.59765625" customWidth="1"/>
    <col min="8" max="8" width="21.09765625" customWidth="1"/>
  </cols>
  <sheetData>
    <row r="1" spans="1:8" ht="29.95" customHeight="1" x14ac:dyDescent="0.3">
      <c r="A1" s="2" t="s">
        <v>19</v>
      </c>
      <c r="B1" s="11">
        <v>850000</v>
      </c>
      <c r="D1" s="1" t="s">
        <v>8</v>
      </c>
      <c r="E1" s="1" t="s">
        <v>27</v>
      </c>
      <c r="F1" s="1" t="s">
        <v>28</v>
      </c>
      <c r="G1" s="2" t="s">
        <v>32</v>
      </c>
      <c r="H1" s="2" t="s">
        <v>31</v>
      </c>
    </row>
    <row r="2" spans="1:8" ht="19.95" customHeight="1" x14ac:dyDescent="0.3">
      <c r="A2" s="1" t="s">
        <v>24</v>
      </c>
      <c r="B2" s="10">
        <v>0.17</v>
      </c>
      <c r="D2" s="17">
        <v>46023</v>
      </c>
      <c r="E2" s="14" t="s">
        <v>20</v>
      </c>
      <c r="F2" s="18">
        <f>B3*B5</f>
        <v>122825</v>
      </c>
      <c r="G2" s="14">
        <v>121</v>
      </c>
      <c r="H2" s="19">
        <f>F2*G2</f>
        <v>14861825</v>
      </c>
    </row>
    <row r="3" spans="1:8" ht="19.95" customHeight="1" x14ac:dyDescent="0.3">
      <c r="A3" s="1" t="s">
        <v>25</v>
      </c>
      <c r="B3" s="7">
        <f>B1*B2</f>
        <v>144500</v>
      </c>
      <c r="D3" s="17">
        <v>46023</v>
      </c>
      <c r="E3" s="14" t="s">
        <v>21</v>
      </c>
      <c r="F3" s="18">
        <f>B3*B6</f>
        <v>11560</v>
      </c>
      <c r="G3" s="14">
        <v>40</v>
      </c>
      <c r="H3" s="19">
        <f t="shared" ref="H3:H60" si="0">F3*G3</f>
        <v>462400</v>
      </c>
    </row>
    <row r="4" spans="1:8" ht="19.95" customHeight="1" x14ac:dyDescent="0.3">
      <c r="A4" s="2" t="s">
        <v>26</v>
      </c>
      <c r="B4" s="8">
        <v>1</v>
      </c>
      <c r="D4" s="17">
        <v>46023</v>
      </c>
      <c r="E4" s="14" t="s">
        <v>22</v>
      </c>
      <c r="F4" s="18">
        <f>B3*B7</f>
        <v>5780</v>
      </c>
      <c r="G4" s="14">
        <v>90</v>
      </c>
      <c r="H4" s="19">
        <f t="shared" si="0"/>
        <v>520200</v>
      </c>
    </row>
    <row r="5" spans="1:8" ht="19.95" customHeight="1" x14ac:dyDescent="0.3">
      <c r="A5" s="1" t="s">
        <v>20</v>
      </c>
      <c r="B5" s="8">
        <v>0.85</v>
      </c>
      <c r="D5" s="17">
        <v>46023</v>
      </c>
      <c r="E5" s="14" t="s">
        <v>23</v>
      </c>
      <c r="F5" s="18">
        <f>B3*B8</f>
        <v>4335</v>
      </c>
      <c r="G5" s="14">
        <v>40</v>
      </c>
      <c r="H5" s="19">
        <f t="shared" si="0"/>
        <v>173400</v>
      </c>
    </row>
    <row r="6" spans="1:8" ht="19.95" customHeight="1" x14ac:dyDescent="0.3">
      <c r="A6" s="1" t="s">
        <v>21</v>
      </c>
      <c r="B6" s="8">
        <v>0.08</v>
      </c>
      <c r="D6" s="17">
        <v>46023</v>
      </c>
      <c r="E6" s="14" t="s">
        <v>29</v>
      </c>
      <c r="F6" s="18">
        <v>5000</v>
      </c>
      <c r="G6" s="14">
        <v>25</v>
      </c>
      <c r="H6" s="19">
        <f>F6*G6</f>
        <v>125000</v>
      </c>
    </row>
    <row r="7" spans="1:8" ht="19.95" customHeight="1" x14ac:dyDescent="0.3">
      <c r="A7" s="1" t="s">
        <v>22</v>
      </c>
      <c r="B7" s="8">
        <v>0.04</v>
      </c>
      <c r="D7" s="17">
        <v>46054</v>
      </c>
      <c r="E7" s="14" t="s">
        <v>20</v>
      </c>
      <c r="F7" s="18">
        <v>122825</v>
      </c>
      <c r="G7" s="14">
        <v>121</v>
      </c>
      <c r="H7" s="19">
        <f t="shared" si="0"/>
        <v>14861825</v>
      </c>
    </row>
    <row r="8" spans="1:8" ht="19.95" customHeight="1" x14ac:dyDescent="0.3">
      <c r="A8" s="1" t="s">
        <v>23</v>
      </c>
      <c r="B8" s="9">
        <v>0.03</v>
      </c>
      <c r="D8" s="17">
        <v>46054</v>
      </c>
      <c r="E8" s="14" t="s">
        <v>21</v>
      </c>
      <c r="F8" s="18">
        <v>11560</v>
      </c>
      <c r="G8" s="14">
        <v>40</v>
      </c>
      <c r="H8" s="19">
        <f t="shared" si="0"/>
        <v>462400</v>
      </c>
    </row>
    <row r="9" spans="1:8" ht="19.95" customHeight="1" x14ac:dyDescent="0.3">
      <c r="A9" s="1" t="s">
        <v>39</v>
      </c>
      <c r="B9" s="26">
        <f>F6/B3</f>
        <v>3.4602076124567477E-2</v>
      </c>
      <c r="D9" s="17">
        <v>46054</v>
      </c>
      <c r="E9" s="14" t="s">
        <v>22</v>
      </c>
      <c r="F9" s="18">
        <v>5780</v>
      </c>
      <c r="G9" s="14">
        <v>90</v>
      </c>
      <c r="H9" s="19">
        <f t="shared" si="0"/>
        <v>520200</v>
      </c>
    </row>
    <row r="10" spans="1:8" ht="19.95" customHeight="1" x14ac:dyDescent="0.3">
      <c r="D10" s="17">
        <v>46054</v>
      </c>
      <c r="E10" s="14" t="s">
        <v>23</v>
      </c>
      <c r="F10" s="18">
        <v>4335</v>
      </c>
      <c r="G10" s="14">
        <v>40</v>
      </c>
      <c r="H10" s="19">
        <f t="shared" si="0"/>
        <v>173400</v>
      </c>
    </row>
    <row r="11" spans="1:8" ht="19.95" customHeight="1" x14ac:dyDescent="0.3">
      <c r="D11" s="17">
        <v>46054</v>
      </c>
      <c r="E11" s="14" t="s">
        <v>29</v>
      </c>
      <c r="F11" s="18">
        <v>5000</v>
      </c>
      <c r="G11" s="14">
        <v>25</v>
      </c>
      <c r="H11" s="19">
        <f>F11*G11</f>
        <v>125000</v>
      </c>
    </row>
    <row r="12" spans="1:8" ht="19.95" customHeight="1" x14ac:dyDescent="0.3">
      <c r="D12" s="17">
        <v>46082</v>
      </c>
      <c r="E12" s="14" t="s">
        <v>20</v>
      </c>
      <c r="F12" s="18">
        <v>122825</v>
      </c>
      <c r="G12" s="14">
        <v>121</v>
      </c>
      <c r="H12" s="19">
        <f t="shared" si="0"/>
        <v>14861825</v>
      </c>
    </row>
    <row r="13" spans="1:8" ht="19.95" customHeight="1" x14ac:dyDescent="0.3">
      <c r="D13" s="17">
        <v>46082</v>
      </c>
      <c r="E13" s="14" t="s">
        <v>21</v>
      </c>
      <c r="F13" s="18">
        <v>11560</v>
      </c>
      <c r="G13" s="14">
        <v>40</v>
      </c>
      <c r="H13" s="19">
        <f t="shared" si="0"/>
        <v>462400</v>
      </c>
    </row>
    <row r="14" spans="1:8" ht="19.95" customHeight="1" x14ac:dyDescent="0.3">
      <c r="D14" s="17">
        <v>46082</v>
      </c>
      <c r="E14" s="14" t="s">
        <v>22</v>
      </c>
      <c r="F14" s="18">
        <v>5780</v>
      </c>
      <c r="G14" s="14">
        <v>90</v>
      </c>
      <c r="H14" s="19">
        <f t="shared" si="0"/>
        <v>520200</v>
      </c>
    </row>
    <row r="15" spans="1:8" ht="19.95" customHeight="1" x14ac:dyDescent="0.3">
      <c r="D15" s="17">
        <v>46082</v>
      </c>
      <c r="E15" s="14" t="s">
        <v>23</v>
      </c>
      <c r="F15" s="18">
        <v>4335</v>
      </c>
      <c r="G15" s="14">
        <v>40</v>
      </c>
      <c r="H15" s="19">
        <f t="shared" si="0"/>
        <v>173400</v>
      </c>
    </row>
    <row r="16" spans="1:8" ht="19.95" customHeight="1" x14ac:dyDescent="0.3">
      <c r="D16" s="17">
        <v>46082</v>
      </c>
      <c r="E16" s="14" t="s">
        <v>29</v>
      </c>
      <c r="F16" s="18">
        <v>5000</v>
      </c>
      <c r="G16" s="14">
        <v>25</v>
      </c>
      <c r="H16" s="19">
        <f>F16*G16</f>
        <v>125000</v>
      </c>
    </row>
    <row r="17" spans="4:8" ht="19.95" customHeight="1" x14ac:dyDescent="0.3">
      <c r="D17" s="17">
        <v>46113</v>
      </c>
      <c r="E17" s="14" t="s">
        <v>20</v>
      </c>
      <c r="F17" s="18">
        <v>122825</v>
      </c>
      <c r="G17" s="14">
        <v>121</v>
      </c>
      <c r="H17" s="19">
        <f t="shared" si="0"/>
        <v>14861825</v>
      </c>
    </row>
    <row r="18" spans="4:8" ht="19.95" customHeight="1" x14ac:dyDescent="0.3">
      <c r="D18" s="17">
        <v>46113</v>
      </c>
      <c r="E18" s="14" t="s">
        <v>21</v>
      </c>
      <c r="F18" s="18">
        <v>11560</v>
      </c>
      <c r="G18" s="14">
        <v>40</v>
      </c>
      <c r="H18" s="19">
        <f t="shared" si="0"/>
        <v>462400</v>
      </c>
    </row>
    <row r="19" spans="4:8" ht="19.95" customHeight="1" x14ac:dyDescent="0.3">
      <c r="D19" s="17">
        <v>46113</v>
      </c>
      <c r="E19" s="14" t="s">
        <v>22</v>
      </c>
      <c r="F19" s="18">
        <v>5780</v>
      </c>
      <c r="G19" s="14">
        <v>90</v>
      </c>
      <c r="H19" s="19">
        <f t="shared" si="0"/>
        <v>520200</v>
      </c>
    </row>
    <row r="20" spans="4:8" ht="19.95" customHeight="1" x14ac:dyDescent="0.3">
      <c r="D20" s="17">
        <v>46113</v>
      </c>
      <c r="E20" s="14" t="s">
        <v>23</v>
      </c>
      <c r="F20" s="18">
        <v>4335</v>
      </c>
      <c r="G20" s="14">
        <v>40</v>
      </c>
      <c r="H20" s="19">
        <f t="shared" si="0"/>
        <v>173400</v>
      </c>
    </row>
    <row r="21" spans="4:8" ht="19.95" customHeight="1" x14ac:dyDescent="0.3">
      <c r="D21" s="17">
        <v>46113</v>
      </c>
      <c r="E21" s="14" t="s">
        <v>29</v>
      </c>
      <c r="F21" s="18">
        <v>5000</v>
      </c>
      <c r="G21" s="14">
        <v>25</v>
      </c>
      <c r="H21" s="19">
        <f>F21*G21</f>
        <v>125000</v>
      </c>
    </row>
    <row r="22" spans="4:8" ht="19.95" customHeight="1" x14ac:dyDescent="0.3">
      <c r="D22" s="17">
        <v>46143</v>
      </c>
      <c r="E22" s="14" t="s">
        <v>20</v>
      </c>
      <c r="F22" s="18">
        <v>122825</v>
      </c>
      <c r="G22" s="14">
        <v>121</v>
      </c>
      <c r="H22" s="19">
        <f t="shared" si="0"/>
        <v>14861825</v>
      </c>
    </row>
    <row r="23" spans="4:8" ht="19.95" customHeight="1" x14ac:dyDescent="0.3">
      <c r="D23" s="17">
        <v>46143</v>
      </c>
      <c r="E23" s="14" t="s">
        <v>21</v>
      </c>
      <c r="F23" s="18">
        <v>11560</v>
      </c>
      <c r="G23" s="14">
        <v>40</v>
      </c>
      <c r="H23" s="19">
        <f t="shared" si="0"/>
        <v>462400</v>
      </c>
    </row>
    <row r="24" spans="4:8" ht="19.95" customHeight="1" x14ac:dyDescent="0.3">
      <c r="D24" s="17">
        <v>46143</v>
      </c>
      <c r="E24" s="14" t="s">
        <v>22</v>
      </c>
      <c r="F24" s="18">
        <v>5780</v>
      </c>
      <c r="G24" s="14">
        <v>90</v>
      </c>
      <c r="H24" s="19">
        <f t="shared" si="0"/>
        <v>520200</v>
      </c>
    </row>
    <row r="25" spans="4:8" ht="19.95" customHeight="1" x14ac:dyDescent="0.3">
      <c r="D25" s="17">
        <v>46143</v>
      </c>
      <c r="E25" s="14" t="s">
        <v>23</v>
      </c>
      <c r="F25" s="18">
        <v>4335</v>
      </c>
      <c r="G25" s="14">
        <v>40</v>
      </c>
      <c r="H25" s="19">
        <f t="shared" si="0"/>
        <v>173400</v>
      </c>
    </row>
    <row r="26" spans="4:8" ht="19.95" customHeight="1" x14ac:dyDescent="0.3">
      <c r="D26" s="17">
        <v>46143</v>
      </c>
      <c r="E26" s="14" t="s">
        <v>29</v>
      </c>
      <c r="F26" s="18">
        <v>5000</v>
      </c>
      <c r="G26" s="14">
        <v>25</v>
      </c>
      <c r="H26" s="19">
        <f>F26*G26</f>
        <v>125000</v>
      </c>
    </row>
    <row r="27" spans="4:8" ht="19.95" customHeight="1" x14ac:dyDescent="0.3">
      <c r="D27" s="17">
        <v>46174</v>
      </c>
      <c r="E27" s="14" t="s">
        <v>20</v>
      </c>
      <c r="F27" s="18">
        <v>122825</v>
      </c>
      <c r="G27" s="14">
        <v>121</v>
      </c>
      <c r="H27" s="19">
        <f t="shared" si="0"/>
        <v>14861825</v>
      </c>
    </row>
    <row r="28" spans="4:8" ht="19.95" customHeight="1" x14ac:dyDescent="0.3">
      <c r="D28" s="17">
        <v>46174</v>
      </c>
      <c r="E28" s="14" t="s">
        <v>21</v>
      </c>
      <c r="F28" s="18">
        <v>11560</v>
      </c>
      <c r="G28" s="14">
        <v>40</v>
      </c>
      <c r="H28" s="19">
        <f t="shared" si="0"/>
        <v>462400</v>
      </c>
    </row>
    <row r="29" spans="4:8" ht="19.95" customHeight="1" x14ac:dyDescent="0.3">
      <c r="D29" s="17">
        <v>46174</v>
      </c>
      <c r="E29" s="14" t="s">
        <v>22</v>
      </c>
      <c r="F29" s="18">
        <v>5780</v>
      </c>
      <c r="G29" s="14">
        <v>90</v>
      </c>
      <c r="H29" s="19">
        <f t="shared" si="0"/>
        <v>520200</v>
      </c>
    </row>
    <row r="30" spans="4:8" ht="19.95" customHeight="1" x14ac:dyDescent="0.3">
      <c r="D30" s="17">
        <v>46174</v>
      </c>
      <c r="E30" s="14" t="s">
        <v>23</v>
      </c>
      <c r="F30" s="18">
        <v>4335</v>
      </c>
      <c r="G30" s="14">
        <v>40</v>
      </c>
      <c r="H30" s="19">
        <f t="shared" si="0"/>
        <v>173400</v>
      </c>
    </row>
    <row r="31" spans="4:8" ht="19.95" customHeight="1" x14ac:dyDescent="0.3">
      <c r="D31" s="17">
        <v>46174</v>
      </c>
      <c r="E31" s="14" t="s">
        <v>29</v>
      </c>
      <c r="F31" s="18">
        <v>5000</v>
      </c>
      <c r="G31" s="14">
        <v>25</v>
      </c>
      <c r="H31" s="19">
        <f>F31*G31</f>
        <v>125000</v>
      </c>
    </row>
    <row r="32" spans="4:8" ht="19.95" customHeight="1" x14ac:dyDescent="0.3">
      <c r="D32" s="17">
        <v>46204</v>
      </c>
      <c r="E32" s="14" t="s">
        <v>20</v>
      </c>
      <c r="F32" s="18">
        <v>122825</v>
      </c>
      <c r="G32" s="14">
        <v>121</v>
      </c>
      <c r="H32" s="19">
        <f t="shared" si="0"/>
        <v>14861825</v>
      </c>
    </row>
    <row r="33" spans="4:8" ht="19.95" customHeight="1" x14ac:dyDescent="0.3">
      <c r="D33" s="17">
        <v>46204</v>
      </c>
      <c r="E33" s="14" t="s">
        <v>21</v>
      </c>
      <c r="F33" s="18">
        <v>11560</v>
      </c>
      <c r="G33" s="14">
        <v>40</v>
      </c>
      <c r="H33" s="19">
        <f t="shared" si="0"/>
        <v>462400</v>
      </c>
    </row>
    <row r="34" spans="4:8" ht="19.95" customHeight="1" x14ac:dyDescent="0.3">
      <c r="D34" s="17">
        <v>46204</v>
      </c>
      <c r="E34" s="14" t="s">
        <v>22</v>
      </c>
      <c r="F34" s="18">
        <v>5780</v>
      </c>
      <c r="G34" s="14">
        <v>90</v>
      </c>
      <c r="H34" s="19">
        <f t="shared" si="0"/>
        <v>520200</v>
      </c>
    </row>
    <row r="35" spans="4:8" ht="19.95" customHeight="1" x14ac:dyDescent="0.3">
      <c r="D35" s="17">
        <v>46204</v>
      </c>
      <c r="E35" s="14" t="s">
        <v>23</v>
      </c>
      <c r="F35" s="18">
        <v>4335</v>
      </c>
      <c r="G35" s="14">
        <v>40</v>
      </c>
      <c r="H35" s="19">
        <f t="shared" si="0"/>
        <v>173400</v>
      </c>
    </row>
    <row r="36" spans="4:8" ht="19.95" customHeight="1" x14ac:dyDescent="0.3">
      <c r="D36" s="17">
        <v>46204</v>
      </c>
      <c r="E36" s="14" t="s">
        <v>29</v>
      </c>
      <c r="F36" s="18">
        <v>5000</v>
      </c>
      <c r="G36" s="14">
        <v>25</v>
      </c>
      <c r="H36" s="19">
        <f>F36*G36</f>
        <v>125000</v>
      </c>
    </row>
    <row r="37" spans="4:8" ht="19.95" customHeight="1" x14ac:dyDescent="0.3">
      <c r="D37" s="17">
        <v>46235</v>
      </c>
      <c r="E37" s="14" t="s">
        <v>20</v>
      </c>
      <c r="F37" s="18">
        <v>122825</v>
      </c>
      <c r="G37" s="14">
        <v>121</v>
      </c>
      <c r="H37" s="19">
        <f t="shared" si="0"/>
        <v>14861825</v>
      </c>
    </row>
    <row r="38" spans="4:8" ht="19.95" customHeight="1" x14ac:dyDescent="0.3">
      <c r="D38" s="17">
        <v>46235</v>
      </c>
      <c r="E38" s="14" t="s">
        <v>21</v>
      </c>
      <c r="F38" s="18">
        <v>11560</v>
      </c>
      <c r="G38" s="14">
        <v>40</v>
      </c>
      <c r="H38" s="19">
        <f t="shared" si="0"/>
        <v>462400</v>
      </c>
    </row>
    <row r="39" spans="4:8" ht="19.95" customHeight="1" x14ac:dyDescent="0.3">
      <c r="D39" s="17">
        <v>46235</v>
      </c>
      <c r="E39" s="14" t="s">
        <v>22</v>
      </c>
      <c r="F39" s="18">
        <v>5780</v>
      </c>
      <c r="G39" s="14">
        <v>90</v>
      </c>
      <c r="H39" s="19">
        <f t="shared" si="0"/>
        <v>520200</v>
      </c>
    </row>
    <row r="40" spans="4:8" ht="19.95" customHeight="1" x14ac:dyDescent="0.3">
      <c r="D40" s="17">
        <v>46235</v>
      </c>
      <c r="E40" s="14" t="s">
        <v>23</v>
      </c>
      <c r="F40" s="18">
        <v>4335</v>
      </c>
      <c r="G40" s="14">
        <v>40</v>
      </c>
      <c r="H40" s="19">
        <f t="shared" si="0"/>
        <v>173400</v>
      </c>
    </row>
    <row r="41" spans="4:8" ht="19.95" customHeight="1" x14ac:dyDescent="0.3">
      <c r="D41" s="17">
        <v>46235</v>
      </c>
      <c r="E41" s="14" t="s">
        <v>29</v>
      </c>
      <c r="F41" s="18">
        <v>5000</v>
      </c>
      <c r="G41" s="14">
        <v>25</v>
      </c>
      <c r="H41" s="19">
        <f>F41*G41</f>
        <v>125000</v>
      </c>
    </row>
    <row r="42" spans="4:8" ht="19.95" customHeight="1" x14ac:dyDescent="0.3">
      <c r="D42" s="17">
        <v>46266</v>
      </c>
      <c r="E42" s="14" t="s">
        <v>20</v>
      </c>
      <c r="F42" s="18">
        <v>122825</v>
      </c>
      <c r="G42" s="14">
        <v>121</v>
      </c>
      <c r="H42" s="19">
        <f t="shared" si="0"/>
        <v>14861825</v>
      </c>
    </row>
    <row r="43" spans="4:8" ht="19.95" customHeight="1" x14ac:dyDescent="0.3">
      <c r="D43" s="17">
        <v>46266</v>
      </c>
      <c r="E43" s="14" t="s">
        <v>21</v>
      </c>
      <c r="F43" s="18">
        <v>11560</v>
      </c>
      <c r="G43" s="14">
        <v>40</v>
      </c>
      <c r="H43" s="19">
        <f t="shared" si="0"/>
        <v>462400</v>
      </c>
    </row>
    <row r="44" spans="4:8" ht="19.95" customHeight="1" x14ac:dyDescent="0.3">
      <c r="D44" s="17">
        <v>46266</v>
      </c>
      <c r="E44" s="14" t="s">
        <v>22</v>
      </c>
      <c r="F44" s="18">
        <v>5780</v>
      </c>
      <c r="G44" s="14">
        <v>90</v>
      </c>
      <c r="H44" s="19">
        <f t="shared" si="0"/>
        <v>520200</v>
      </c>
    </row>
    <row r="45" spans="4:8" ht="19.95" customHeight="1" x14ac:dyDescent="0.3">
      <c r="D45" s="17">
        <v>46266</v>
      </c>
      <c r="E45" s="14" t="s">
        <v>23</v>
      </c>
      <c r="F45" s="18">
        <v>4335</v>
      </c>
      <c r="G45" s="14">
        <v>40</v>
      </c>
      <c r="H45" s="19">
        <f t="shared" si="0"/>
        <v>173400</v>
      </c>
    </row>
    <row r="46" spans="4:8" ht="19.95" customHeight="1" x14ac:dyDescent="0.3">
      <c r="D46" s="17">
        <v>46266</v>
      </c>
      <c r="E46" s="14" t="s">
        <v>29</v>
      </c>
      <c r="F46" s="18">
        <v>5000</v>
      </c>
      <c r="G46" s="14">
        <v>25</v>
      </c>
      <c r="H46" s="19">
        <f>F46*G46</f>
        <v>125000</v>
      </c>
    </row>
    <row r="47" spans="4:8" ht="19.95" customHeight="1" x14ac:dyDescent="0.3">
      <c r="D47" s="17">
        <v>46296</v>
      </c>
      <c r="E47" s="14" t="s">
        <v>20</v>
      </c>
      <c r="F47" s="18">
        <v>122825</v>
      </c>
      <c r="G47" s="14">
        <v>121</v>
      </c>
      <c r="H47" s="19">
        <f t="shared" si="0"/>
        <v>14861825</v>
      </c>
    </row>
    <row r="48" spans="4:8" ht="19.95" customHeight="1" x14ac:dyDescent="0.3">
      <c r="D48" s="17">
        <v>46296</v>
      </c>
      <c r="E48" s="14" t="s">
        <v>21</v>
      </c>
      <c r="F48" s="18">
        <v>11560</v>
      </c>
      <c r="G48" s="14">
        <v>40</v>
      </c>
      <c r="H48" s="19">
        <f t="shared" si="0"/>
        <v>462400</v>
      </c>
    </row>
    <row r="49" spans="4:8" ht="19.95" customHeight="1" x14ac:dyDescent="0.3">
      <c r="D49" s="17">
        <v>46296</v>
      </c>
      <c r="E49" s="14" t="s">
        <v>22</v>
      </c>
      <c r="F49" s="18">
        <v>5780</v>
      </c>
      <c r="G49" s="14">
        <v>90</v>
      </c>
      <c r="H49" s="19">
        <f t="shared" si="0"/>
        <v>520200</v>
      </c>
    </row>
    <row r="50" spans="4:8" ht="19.95" customHeight="1" x14ac:dyDescent="0.3">
      <c r="D50" s="17">
        <v>46296</v>
      </c>
      <c r="E50" s="14" t="s">
        <v>23</v>
      </c>
      <c r="F50" s="18">
        <v>4335</v>
      </c>
      <c r="G50" s="14">
        <v>40</v>
      </c>
      <c r="H50" s="19">
        <f t="shared" si="0"/>
        <v>173400</v>
      </c>
    </row>
    <row r="51" spans="4:8" ht="19.95" customHeight="1" x14ac:dyDescent="0.3">
      <c r="D51" s="17">
        <v>46296</v>
      </c>
      <c r="E51" s="14" t="s">
        <v>29</v>
      </c>
      <c r="F51" s="18">
        <v>5000</v>
      </c>
      <c r="G51" s="14">
        <v>25</v>
      </c>
      <c r="H51" s="19">
        <f>F51*G51</f>
        <v>125000</v>
      </c>
    </row>
    <row r="52" spans="4:8" ht="19.95" customHeight="1" x14ac:dyDescent="0.3">
      <c r="D52" s="17">
        <v>46327</v>
      </c>
      <c r="E52" s="14" t="s">
        <v>20</v>
      </c>
      <c r="F52" s="18">
        <v>122825</v>
      </c>
      <c r="G52" s="14">
        <v>121</v>
      </c>
      <c r="H52" s="19">
        <f t="shared" si="0"/>
        <v>14861825</v>
      </c>
    </row>
    <row r="53" spans="4:8" ht="19.95" customHeight="1" x14ac:dyDescent="0.3">
      <c r="D53" s="17">
        <v>46327</v>
      </c>
      <c r="E53" s="14" t="s">
        <v>21</v>
      </c>
      <c r="F53" s="18">
        <v>11560</v>
      </c>
      <c r="G53" s="14">
        <v>40</v>
      </c>
      <c r="H53" s="19">
        <f t="shared" si="0"/>
        <v>462400</v>
      </c>
    </row>
    <row r="54" spans="4:8" ht="19.95" customHeight="1" x14ac:dyDescent="0.3">
      <c r="D54" s="17">
        <v>46327</v>
      </c>
      <c r="E54" s="14" t="s">
        <v>22</v>
      </c>
      <c r="F54" s="18">
        <v>5780</v>
      </c>
      <c r="G54" s="14">
        <v>90</v>
      </c>
      <c r="H54" s="19">
        <f t="shared" si="0"/>
        <v>520200</v>
      </c>
    </row>
    <row r="55" spans="4:8" ht="19.95" customHeight="1" x14ac:dyDescent="0.3">
      <c r="D55" s="17">
        <v>46327</v>
      </c>
      <c r="E55" s="14" t="s">
        <v>23</v>
      </c>
      <c r="F55" s="18">
        <v>4335</v>
      </c>
      <c r="G55" s="14">
        <v>40</v>
      </c>
      <c r="H55" s="19">
        <f t="shared" si="0"/>
        <v>173400</v>
      </c>
    </row>
    <row r="56" spans="4:8" ht="19.95" customHeight="1" x14ac:dyDescent="0.3">
      <c r="D56" s="17">
        <v>46327</v>
      </c>
      <c r="E56" s="14" t="s">
        <v>29</v>
      </c>
      <c r="F56" s="18">
        <v>5000</v>
      </c>
      <c r="G56" s="14">
        <v>25</v>
      </c>
      <c r="H56" s="19">
        <f>F56*G56</f>
        <v>125000</v>
      </c>
    </row>
    <row r="57" spans="4:8" ht="19.95" customHeight="1" x14ac:dyDescent="0.3">
      <c r="D57" s="17">
        <v>46357</v>
      </c>
      <c r="E57" s="14" t="s">
        <v>20</v>
      </c>
      <c r="F57" s="18">
        <v>122825</v>
      </c>
      <c r="G57" s="14">
        <v>121</v>
      </c>
      <c r="H57" s="19">
        <f t="shared" si="0"/>
        <v>14861825</v>
      </c>
    </row>
    <row r="58" spans="4:8" ht="19.95" customHeight="1" x14ac:dyDescent="0.3">
      <c r="D58" s="17">
        <v>46357</v>
      </c>
      <c r="E58" s="14" t="s">
        <v>21</v>
      </c>
      <c r="F58" s="18">
        <v>11560</v>
      </c>
      <c r="G58" s="14">
        <v>40</v>
      </c>
      <c r="H58" s="19">
        <f t="shared" si="0"/>
        <v>462400</v>
      </c>
    </row>
    <row r="59" spans="4:8" ht="19.95" customHeight="1" x14ac:dyDescent="0.3">
      <c r="D59" s="17">
        <v>46357</v>
      </c>
      <c r="E59" s="14" t="s">
        <v>22</v>
      </c>
      <c r="F59" s="18">
        <v>5780</v>
      </c>
      <c r="G59" s="14">
        <v>90</v>
      </c>
      <c r="H59" s="19">
        <f t="shared" si="0"/>
        <v>520200</v>
      </c>
    </row>
    <row r="60" spans="4:8" ht="19.95" customHeight="1" x14ac:dyDescent="0.3">
      <c r="D60" s="17">
        <v>46357</v>
      </c>
      <c r="E60" s="14" t="s">
        <v>23</v>
      </c>
      <c r="F60" s="18">
        <v>4335</v>
      </c>
      <c r="G60" s="14">
        <v>40</v>
      </c>
      <c r="H60" s="19">
        <f t="shared" si="0"/>
        <v>173400</v>
      </c>
    </row>
    <row r="61" spans="4:8" ht="19.95" customHeight="1" x14ac:dyDescent="0.3">
      <c r="D61" s="17">
        <v>46357</v>
      </c>
      <c r="E61" s="14" t="s">
        <v>29</v>
      </c>
      <c r="F61" s="18">
        <v>5000</v>
      </c>
      <c r="G61" s="14">
        <v>25</v>
      </c>
      <c r="H61" s="19">
        <f>F61*G61</f>
        <v>125000</v>
      </c>
    </row>
    <row r="62" spans="4:8" ht="29.95" customHeight="1" x14ac:dyDescent="0.3">
      <c r="D62" s="5" t="s">
        <v>33</v>
      </c>
      <c r="E62" s="5"/>
      <c r="F62" s="5"/>
      <c r="G62" s="5"/>
      <c r="H62" s="20">
        <f>SUM(H2:H61)</f>
        <v>193713900</v>
      </c>
    </row>
    <row r="63" spans="4:8" ht="19.95" customHeight="1" x14ac:dyDescent="0.3"/>
    <row r="64" spans="4:8" ht="19.95" customHeight="1" x14ac:dyDescent="0.3"/>
    <row r="65" ht="19.95" customHeight="1" x14ac:dyDescent="0.3"/>
    <row r="66" ht="19.95" customHeight="1" x14ac:dyDescent="0.3"/>
    <row r="67" ht="19.95" customHeight="1" x14ac:dyDescent="0.3"/>
    <row r="68" ht="19.95" customHeight="1" x14ac:dyDescent="0.3"/>
    <row r="69" ht="19.95" customHeight="1" x14ac:dyDescent="0.3"/>
    <row r="70" ht="19.95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D10D9-7743-4B11-BC2D-2EFF956276CF}">
  <dimension ref="A1:K16"/>
  <sheetViews>
    <sheetView workbookViewId="0">
      <selection activeCell="D3" sqref="D3"/>
    </sheetView>
  </sheetViews>
  <sheetFormatPr defaultRowHeight="14.4" x14ac:dyDescent="0.3"/>
  <cols>
    <col min="1" max="1" width="22.296875" customWidth="1"/>
    <col min="2" max="2" width="26.69921875" customWidth="1"/>
    <col min="3" max="3" width="17.69921875" customWidth="1"/>
    <col min="4" max="4" width="18.19921875" customWidth="1"/>
    <col min="5" max="5" width="23.5" customWidth="1"/>
    <col min="6" max="6" width="21.59765625" customWidth="1"/>
    <col min="7" max="7" width="24" customWidth="1"/>
    <col min="8" max="8" width="17.796875" customWidth="1"/>
    <col min="9" max="9" width="18.09765625" customWidth="1"/>
    <col min="10" max="10" width="16.3984375" customWidth="1"/>
    <col min="11" max="11" width="16.796875" customWidth="1"/>
  </cols>
  <sheetData>
    <row r="1" spans="1:11" ht="24.4" customHeight="1" x14ac:dyDescent="0.3">
      <c r="A1" s="2" t="s">
        <v>19</v>
      </c>
      <c r="B1" s="38" t="s">
        <v>34</v>
      </c>
      <c r="C1" s="1" t="s">
        <v>35</v>
      </c>
      <c r="D1" s="2" t="s">
        <v>36</v>
      </c>
      <c r="E1" s="1" t="s">
        <v>37</v>
      </c>
      <c r="F1" s="1" t="s">
        <v>38</v>
      </c>
      <c r="G1" s="1" t="s">
        <v>92</v>
      </c>
      <c r="H1" s="6"/>
    </row>
    <row r="2" spans="1:11" ht="24.4" customHeight="1" x14ac:dyDescent="0.3">
      <c r="A2" s="21">
        <v>850000</v>
      </c>
      <c r="B2" s="23">
        <v>70000</v>
      </c>
      <c r="C2" s="22">
        <v>0.75</v>
      </c>
      <c r="D2" s="22">
        <v>0.25</v>
      </c>
      <c r="E2" s="27">
        <f>B2*0.03</f>
        <v>2100</v>
      </c>
      <c r="F2" s="25">
        <v>15000</v>
      </c>
      <c r="G2" s="37">
        <f>F2/B2</f>
        <v>0.21428571428571427</v>
      </c>
      <c r="H2" s="24"/>
    </row>
    <row r="4" spans="1:11" ht="28.8" x14ac:dyDescent="0.3">
      <c r="A4" s="2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56</v>
      </c>
      <c r="G4" s="2" t="s">
        <v>55</v>
      </c>
      <c r="H4" s="2" t="s">
        <v>57</v>
      </c>
      <c r="I4" s="2" t="s">
        <v>58</v>
      </c>
      <c r="J4" s="2" t="s">
        <v>45</v>
      </c>
      <c r="K4" s="2" t="s">
        <v>46</v>
      </c>
    </row>
    <row r="5" spans="1:11" ht="28.95" customHeight="1" x14ac:dyDescent="0.3">
      <c r="A5" s="28" t="s">
        <v>47</v>
      </c>
      <c r="B5" s="29" t="s">
        <v>48</v>
      </c>
      <c r="C5" s="30">
        <v>90</v>
      </c>
      <c r="D5" s="35">
        <v>120</v>
      </c>
      <c r="E5" s="30">
        <v>140</v>
      </c>
      <c r="F5" s="30">
        <v>121</v>
      </c>
      <c r="G5" s="31">
        <v>0.08</v>
      </c>
      <c r="H5" s="32">
        <f>F5/G5</f>
        <v>1512.5</v>
      </c>
      <c r="I5" s="34">
        <f>H5/C5</f>
        <v>16.805555555555557</v>
      </c>
      <c r="J5" s="36">
        <f>H5/D5</f>
        <v>12.604166666666666</v>
      </c>
      <c r="K5" s="34">
        <f>H5/E5</f>
        <v>10.803571428571429</v>
      </c>
    </row>
    <row r="6" spans="1:11" ht="28.8" x14ac:dyDescent="0.3">
      <c r="A6" s="28" t="s">
        <v>22</v>
      </c>
      <c r="B6" s="29" t="s">
        <v>49</v>
      </c>
      <c r="C6" s="35">
        <v>60</v>
      </c>
      <c r="D6" s="30">
        <v>90</v>
      </c>
      <c r="E6" s="30">
        <v>110</v>
      </c>
      <c r="F6" s="30">
        <v>90</v>
      </c>
      <c r="G6" s="31">
        <v>0.12</v>
      </c>
      <c r="H6" s="32">
        <f t="shared" ref="H6:H8" si="0">F6/G6</f>
        <v>750</v>
      </c>
      <c r="I6" s="36">
        <f t="shared" ref="I6:I9" si="1">H6/C6</f>
        <v>12.5</v>
      </c>
      <c r="J6" s="34">
        <f t="shared" ref="J6:J9" si="2">H6/D6</f>
        <v>8.3333333333333339</v>
      </c>
      <c r="K6" s="34">
        <f t="shared" ref="K6:K9" si="3">H6/E6</f>
        <v>6.8181818181818183</v>
      </c>
    </row>
    <row r="7" spans="1:11" ht="28.95" customHeight="1" x14ac:dyDescent="0.3">
      <c r="A7" s="28" t="s">
        <v>21</v>
      </c>
      <c r="B7" s="29" t="s">
        <v>50</v>
      </c>
      <c r="C7" s="30">
        <v>80</v>
      </c>
      <c r="D7" s="35">
        <v>110</v>
      </c>
      <c r="E7" s="30">
        <v>130</v>
      </c>
      <c r="F7" s="30">
        <v>40</v>
      </c>
      <c r="G7" s="31">
        <v>0.1</v>
      </c>
      <c r="H7" s="32">
        <f t="shared" si="0"/>
        <v>400</v>
      </c>
      <c r="I7" s="34">
        <f t="shared" si="1"/>
        <v>5</v>
      </c>
      <c r="J7" s="36">
        <f t="shared" si="2"/>
        <v>3.6363636363636362</v>
      </c>
      <c r="K7" s="34">
        <f t="shared" si="3"/>
        <v>3.0769230769230771</v>
      </c>
    </row>
    <row r="8" spans="1:11" ht="28.95" customHeight="1" x14ac:dyDescent="0.3">
      <c r="A8" s="28" t="s">
        <v>51</v>
      </c>
      <c r="B8" s="29" t="s">
        <v>52</v>
      </c>
      <c r="C8" s="30">
        <v>75</v>
      </c>
      <c r="D8" s="35">
        <v>100</v>
      </c>
      <c r="E8" s="30">
        <v>120</v>
      </c>
      <c r="F8" s="30">
        <v>40</v>
      </c>
      <c r="G8" s="31">
        <v>0.09</v>
      </c>
      <c r="H8" s="32">
        <f t="shared" si="0"/>
        <v>444.44444444444446</v>
      </c>
      <c r="I8" s="34">
        <f t="shared" si="1"/>
        <v>5.9259259259259265</v>
      </c>
      <c r="J8" s="36">
        <f t="shared" si="2"/>
        <v>4.4444444444444446</v>
      </c>
      <c r="K8" s="34">
        <f t="shared" si="3"/>
        <v>3.7037037037037037</v>
      </c>
    </row>
    <row r="9" spans="1:11" ht="28.95" customHeight="1" x14ac:dyDescent="0.3">
      <c r="A9" s="28" t="s">
        <v>53</v>
      </c>
      <c r="B9" s="29" t="s">
        <v>54</v>
      </c>
      <c r="C9" s="30">
        <v>25</v>
      </c>
      <c r="D9" s="30">
        <v>40</v>
      </c>
      <c r="E9" s="35">
        <v>35</v>
      </c>
      <c r="F9" s="30">
        <v>25</v>
      </c>
      <c r="G9" s="33">
        <f>1/7</f>
        <v>0.14285714285714285</v>
      </c>
      <c r="H9" s="32">
        <f>F9/G9</f>
        <v>175</v>
      </c>
      <c r="I9" s="34">
        <f t="shared" si="1"/>
        <v>7</v>
      </c>
      <c r="J9" s="34">
        <f t="shared" si="2"/>
        <v>4.375</v>
      </c>
      <c r="K9" s="36">
        <f t="shared" si="3"/>
        <v>5</v>
      </c>
    </row>
    <row r="11" spans="1:11" ht="26.05" customHeight="1" x14ac:dyDescent="0.3">
      <c r="A11" s="2" t="s">
        <v>40</v>
      </c>
      <c r="B11" s="2" t="s">
        <v>59</v>
      </c>
      <c r="C11" s="2" t="s">
        <v>60</v>
      </c>
      <c r="D11" s="2" t="s">
        <v>61</v>
      </c>
      <c r="E11" s="2" t="s">
        <v>62</v>
      </c>
    </row>
    <row r="12" spans="1:11" ht="28.95" customHeight="1" x14ac:dyDescent="0.3">
      <c r="A12" s="29" t="s">
        <v>47</v>
      </c>
      <c r="B12" s="29" t="s">
        <v>7</v>
      </c>
      <c r="C12" s="28" t="s">
        <v>63</v>
      </c>
      <c r="D12" s="29" t="s">
        <v>64</v>
      </c>
      <c r="E12" s="29" t="s">
        <v>65</v>
      </c>
    </row>
    <row r="13" spans="1:11" ht="28.95" customHeight="1" x14ac:dyDescent="0.3">
      <c r="A13" s="29" t="s">
        <v>22</v>
      </c>
      <c r="B13" s="29" t="s">
        <v>66</v>
      </c>
      <c r="C13" s="28" t="s">
        <v>67</v>
      </c>
      <c r="D13" s="29" t="s">
        <v>68</v>
      </c>
      <c r="E13" s="29" t="s">
        <v>69</v>
      </c>
    </row>
    <row r="14" spans="1:11" ht="28.95" customHeight="1" x14ac:dyDescent="0.3">
      <c r="A14" s="29" t="s">
        <v>21</v>
      </c>
      <c r="B14" s="29" t="s">
        <v>70</v>
      </c>
      <c r="C14" s="28" t="s">
        <v>63</v>
      </c>
      <c r="D14" s="29" t="s">
        <v>71</v>
      </c>
      <c r="E14" s="29" t="s">
        <v>72</v>
      </c>
    </row>
    <row r="15" spans="1:11" ht="28.95" customHeight="1" x14ac:dyDescent="0.3">
      <c r="A15" s="29" t="s">
        <v>51</v>
      </c>
      <c r="B15" s="29" t="s">
        <v>70</v>
      </c>
      <c r="C15" s="28" t="s">
        <v>63</v>
      </c>
      <c r="D15" s="29" t="s">
        <v>73</v>
      </c>
      <c r="E15" s="29" t="s">
        <v>74</v>
      </c>
    </row>
    <row r="16" spans="1:11" ht="28.95" customHeight="1" x14ac:dyDescent="0.3">
      <c r="A16" s="29" t="s">
        <v>53</v>
      </c>
      <c r="B16" s="29" t="s">
        <v>75</v>
      </c>
      <c r="C16" s="28" t="s">
        <v>76</v>
      </c>
      <c r="D16" s="29" t="s">
        <v>77</v>
      </c>
      <c r="E16" s="29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7C615-5D48-4FA2-8E75-F4D2142807F2}">
  <dimension ref="A1:F3"/>
  <sheetViews>
    <sheetView workbookViewId="0">
      <selection activeCell="C2" sqref="C2"/>
    </sheetView>
  </sheetViews>
  <sheetFormatPr defaultRowHeight="14.4" x14ac:dyDescent="0.3"/>
  <cols>
    <col min="1" max="1" width="40.09765625" customWidth="1"/>
    <col min="2" max="2" width="34.796875" customWidth="1"/>
    <col min="3" max="3" width="42.19921875" customWidth="1"/>
    <col min="4" max="4" width="38.296875" customWidth="1"/>
    <col min="5" max="5" width="46.19921875" customWidth="1"/>
    <col min="6" max="6" width="47.796875" customWidth="1"/>
  </cols>
  <sheetData>
    <row r="1" spans="1:6" ht="28.8" customHeight="1" x14ac:dyDescent="0.3">
      <c r="A1" s="97" t="s">
        <v>80</v>
      </c>
      <c r="B1" s="98" t="s">
        <v>79</v>
      </c>
      <c r="C1" s="98" t="s">
        <v>81</v>
      </c>
      <c r="D1" s="99" t="s">
        <v>82</v>
      </c>
      <c r="E1" s="99" t="s">
        <v>83</v>
      </c>
      <c r="F1" s="100" t="s">
        <v>84</v>
      </c>
    </row>
    <row r="2" spans="1:6" ht="301.3" customHeight="1" x14ac:dyDescent="0.3">
      <c r="A2" s="101" t="s">
        <v>85</v>
      </c>
      <c r="B2" s="95" t="s">
        <v>86</v>
      </c>
      <c r="C2" s="94" t="s">
        <v>87</v>
      </c>
      <c r="D2" s="94" t="s">
        <v>88</v>
      </c>
      <c r="E2" s="96" t="s">
        <v>89</v>
      </c>
      <c r="F2" s="102" t="s">
        <v>90</v>
      </c>
    </row>
    <row r="3" spans="1:6" ht="14.95" thickBot="1" x14ac:dyDescent="0.35">
      <c r="A3" s="103" t="s">
        <v>94</v>
      </c>
      <c r="B3" s="104"/>
      <c r="C3" s="105"/>
      <c r="D3" s="105"/>
      <c r="E3" s="106" t="s">
        <v>93</v>
      </c>
      <c r="F3" s="107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13AC0-D88C-4686-B966-D6FA19CCB6AA}">
  <dimension ref="B1:N20"/>
  <sheetViews>
    <sheetView workbookViewId="0">
      <selection activeCell="E24" sqref="E24"/>
    </sheetView>
  </sheetViews>
  <sheetFormatPr defaultRowHeight="14.4" x14ac:dyDescent="0.3"/>
  <cols>
    <col min="1" max="1" width="1.3984375" customWidth="1"/>
    <col min="2" max="2" width="13" customWidth="1"/>
    <col min="3" max="3" width="18.796875" customWidth="1"/>
    <col min="4" max="4" width="18.09765625" customWidth="1"/>
    <col min="5" max="5" width="18.296875" customWidth="1"/>
    <col min="6" max="6" width="23.3984375" customWidth="1"/>
    <col min="7" max="7" width="24" customWidth="1"/>
    <col min="8" max="8" width="21.796875" customWidth="1"/>
    <col min="9" max="9" width="19" customWidth="1"/>
    <col min="10" max="10" width="17.3984375" customWidth="1"/>
    <col min="11" max="11" width="18.796875" customWidth="1"/>
    <col min="12" max="12" width="21.09765625" customWidth="1"/>
    <col min="13" max="13" width="22.3984375" customWidth="1"/>
    <col min="14" max="14" width="10.8984375" customWidth="1"/>
  </cols>
  <sheetData>
    <row r="1" spans="2:14" ht="5.55" customHeight="1" thickBot="1" x14ac:dyDescent="0.35"/>
    <row r="2" spans="2:14" ht="37.15" customHeight="1" x14ac:dyDescent="0.3">
      <c r="B2" s="54" t="s">
        <v>111</v>
      </c>
      <c r="C2" s="64" t="s">
        <v>97</v>
      </c>
      <c r="D2" s="65" t="s">
        <v>34</v>
      </c>
      <c r="E2" s="55" t="s">
        <v>96</v>
      </c>
      <c r="F2" s="55" t="s">
        <v>95</v>
      </c>
      <c r="G2" s="55" t="s">
        <v>100</v>
      </c>
      <c r="H2" s="55" t="s">
        <v>101</v>
      </c>
      <c r="I2" s="55" t="s">
        <v>102</v>
      </c>
      <c r="J2" s="55" t="s">
        <v>103</v>
      </c>
      <c r="K2" s="55" t="s">
        <v>104</v>
      </c>
      <c r="L2" s="55" t="s">
        <v>112</v>
      </c>
      <c r="M2" s="55" t="s">
        <v>113</v>
      </c>
      <c r="N2" s="56" t="s">
        <v>107</v>
      </c>
    </row>
    <row r="3" spans="2:14" x14ac:dyDescent="0.3">
      <c r="B3" s="66" t="s">
        <v>108</v>
      </c>
      <c r="C3" s="51">
        <f>L12</f>
        <v>2273684.4285714291</v>
      </c>
      <c r="D3" s="47">
        <v>25000</v>
      </c>
      <c r="E3" s="44">
        <v>0.35</v>
      </c>
      <c r="F3" s="50">
        <f>D3*E3</f>
        <v>8750</v>
      </c>
      <c r="G3" s="45">
        <f>5000*0.25</f>
        <v>1250</v>
      </c>
      <c r="H3" s="46">
        <f>12051*0.62</f>
        <v>7471.62</v>
      </c>
      <c r="I3" s="46">
        <f>1013*0.85</f>
        <v>861.05</v>
      </c>
      <c r="J3" s="46">
        <f>192</f>
        <v>192</v>
      </c>
      <c r="K3" s="49">
        <v>187</v>
      </c>
      <c r="L3" s="52">
        <f>M12</f>
        <v>12325273.861111112</v>
      </c>
      <c r="M3" s="53" t="s">
        <v>114</v>
      </c>
      <c r="N3" s="67">
        <f>L3/C3</f>
        <v>5.42083752091101</v>
      </c>
    </row>
    <row r="4" spans="2:14" ht="14.95" thickBot="1" x14ac:dyDescent="0.35">
      <c r="B4" s="68" t="s">
        <v>109</v>
      </c>
      <c r="C4" s="69">
        <f>L20</f>
        <v>2099166.6666666665</v>
      </c>
      <c r="D4" s="70">
        <v>30000</v>
      </c>
      <c r="E4" s="71">
        <v>0.45</v>
      </c>
      <c r="F4" s="72">
        <f>D4*E4</f>
        <v>13500</v>
      </c>
      <c r="G4" s="73">
        <v>550</v>
      </c>
      <c r="H4" s="70">
        <f>F4*0.75</f>
        <v>10125</v>
      </c>
      <c r="I4" s="70">
        <f>F4*0.25</f>
        <v>3375</v>
      </c>
      <c r="J4" s="70">
        <v>0</v>
      </c>
      <c r="K4" s="74">
        <v>0</v>
      </c>
      <c r="L4" s="75">
        <f>M20</f>
        <v>17941562.5</v>
      </c>
      <c r="M4" s="76">
        <f>(L4-L3)/L3</f>
        <v>0.45567252315662421</v>
      </c>
      <c r="N4" s="77">
        <f>L4/C4</f>
        <v>8.5469928543072662</v>
      </c>
    </row>
    <row r="5" spans="2:14" ht="14.95" thickBot="1" x14ac:dyDescent="0.35"/>
    <row r="6" spans="2:14" ht="31.6" customHeight="1" x14ac:dyDescent="0.3">
      <c r="B6" s="54" t="s">
        <v>111</v>
      </c>
      <c r="C6" s="55" t="s">
        <v>40</v>
      </c>
      <c r="D6" s="55" t="s">
        <v>59</v>
      </c>
      <c r="E6" s="55" t="s">
        <v>60</v>
      </c>
      <c r="F6" s="55" t="s">
        <v>98</v>
      </c>
      <c r="G6" s="55" t="s">
        <v>99</v>
      </c>
      <c r="H6" s="55" t="s">
        <v>62</v>
      </c>
      <c r="I6" s="55" t="s">
        <v>56</v>
      </c>
      <c r="J6" s="55" t="s">
        <v>55</v>
      </c>
      <c r="K6" s="55" t="s">
        <v>57</v>
      </c>
      <c r="L6" s="55" t="s">
        <v>105</v>
      </c>
      <c r="M6" s="55" t="s">
        <v>106</v>
      </c>
      <c r="N6" s="56" t="s">
        <v>107</v>
      </c>
    </row>
    <row r="7" spans="2:14" ht="23.95" customHeight="1" x14ac:dyDescent="0.3">
      <c r="B7" s="57" t="s">
        <v>108</v>
      </c>
      <c r="C7" s="79" t="s">
        <v>47</v>
      </c>
      <c r="D7" s="41" t="s">
        <v>7</v>
      </c>
      <c r="E7" s="43" t="s">
        <v>63</v>
      </c>
      <c r="F7" s="42">
        <v>90</v>
      </c>
      <c r="G7" s="42">
        <f>F7/E3</f>
        <v>257.14285714285717</v>
      </c>
      <c r="H7" s="29" t="s">
        <v>65</v>
      </c>
      <c r="I7" s="30">
        <v>121</v>
      </c>
      <c r="J7" s="31">
        <v>0.08</v>
      </c>
      <c r="K7" s="40">
        <f>I7/J7</f>
        <v>1512.5</v>
      </c>
      <c r="L7" s="48">
        <f>G7*H3</f>
        <v>1921273.7142857146</v>
      </c>
      <c r="M7" s="78">
        <f>K7*H3</f>
        <v>11300825.25</v>
      </c>
      <c r="N7" s="58">
        <f>M7/L7</f>
        <v>5.8819444444444438</v>
      </c>
    </row>
    <row r="8" spans="2:14" ht="23.95" customHeight="1" x14ac:dyDescent="0.3">
      <c r="B8" s="57"/>
      <c r="C8" s="79" t="s">
        <v>22</v>
      </c>
      <c r="D8" s="41" t="s">
        <v>66</v>
      </c>
      <c r="E8" s="43" t="s">
        <v>67</v>
      </c>
      <c r="F8" s="42">
        <v>55</v>
      </c>
      <c r="G8" s="42">
        <f>F8/E3</f>
        <v>157.14285714285714</v>
      </c>
      <c r="H8" s="29" t="s">
        <v>69</v>
      </c>
      <c r="I8" s="30">
        <v>90</v>
      </c>
      <c r="J8" s="31">
        <v>0.12</v>
      </c>
      <c r="K8" s="40">
        <f t="shared" ref="K8:K10" si="0">I8/J8</f>
        <v>750</v>
      </c>
      <c r="L8" s="48">
        <f>G8*I3</f>
        <v>135307.85714285713</v>
      </c>
      <c r="M8" s="78">
        <f>K8*I3</f>
        <v>645787.5</v>
      </c>
      <c r="N8" s="58">
        <f t="shared" ref="N8:N12" si="1">M8/L8</f>
        <v>4.7727272727272734</v>
      </c>
    </row>
    <row r="9" spans="2:14" ht="23.95" customHeight="1" x14ac:dyDescent="0.3">
      <c r="B9" s="57"/>
      <c r="C9" s="79" t="s">
        <v>21</v>
      </c>
      <c r="D9" s="41" t="s">
        <v>70</v>
      </c>
      <c r="E9" s="43" t="s">
        <v>63</v>
      </c>
      <c r="F9" s="42">
        <v>105</v>
      </c>
      <c r="G9" s="42">
        <f>F9/E3</f>
        <v>300</v>
      </c>
      <c r="H9" s="29" t="s">
        <v>72</v>
      </c>
      <c r="I9" s="30">
        <v>40</v>
      </c>
      <c r="J9" s="31">
        <v>0.1</v>
      </c>
      <c r="K9" s="40">
        <f t="shared" si="0"/>
        <v>400</v>
      </c>
      <c r="L9" s="48">
        <f>G9*J3</f>
        <v>57600</v>
      </c>
      <c r="M9" s="78">
        <f>K9*J3</f>
        <v>76800</v>
      </c>
      <c r="N9" s="58">
        <f t="shared" si="1"/>
        <v>1.3333333333333333</v>
      </c>
    </row>
    <row r="10" spans="2:14" ht="23.95" customHeight="1" x14ac:dyDescent="0.3">
      <c r="B10" s="57"/>
      <c r="C10" s="79" t="s">
        <v>51</v>
      </c>
      <c r="D10" s="41" t="s">
        <v>70</v>
      </c>
      <c r="E10" s="43" t="s">
        <v>63</v>
      </c>
      <c r="F10" s="42">
        <v>98</v>
      </c>
      <c r="G10" s="42">
        <f>F10/E3</f>
        <v>280</v>
      </c>
      <c r="H10" s="29" t="s">
        <v>74</v>
      </c>
      <c r="I10" s="30">
        <v>40</v>
      </c>
      <c r="J10" s="31">
        <v>0.09</v>
      </c>
      <c r="K10" s="40">
        <f t="shared" si="0"/>
        <v>444.44444444444446</v>
      </c>
      <c r="L10" s="48">
        <f>G10*K3</f>
        <v>52360</v>
      </c>
      <c r="M10" s="78">
        <f>K10*K3</f>
        <v>83111.111111111109</v>
      </c>
      <c r="N10" s="58">
        <f t="shared" si="1"/>
        <v>1.5873015873015872</v>
      </c>
    </row>
    <row r="11" spans="2:14" ht="23.95" customHeight="1" x14ac:dyDescent="0.3">
      <c r="B11" s="57"/>
      <c r="C11" s="79" t="s">
        <v>53</v>
      </c>
      <c r="D11" s="41" t="s">
        <v>75</v>
      </c>
      <c r="E11" s="43" t="s">
        <v>76</v>
      </c>
      <c r="F11" s="42">
        <v>30</v>
      </c>
      <c r="G11" s="42">
        <f>F11/E3</f>
        <v>85.714285714285722</v>
      </c>
      <c r="H11" s="29" t="s">
        <v>78</v>
      </c>
      <c r="I11" s="30">
        <v>25</v>
      </c>
      <c r="J11" s="33">
        <f>1/7</f>
        <v>0.14285714285714285</v>
      </c>
      <c r="K11" s="40">
        <f>I11/J11</f>
        <v>175</v>
      </c>
      <c r="L11" s="48">
        <f>G11*G3</f>
        <v>107142.85714285716</v>
      </c>
      <c r="M11" s="78">
        <f>K11*G3</f>
        <v>218750</v>
      </c>
      <c r="N11" s="58">
        <f t="shared" si="1"/>
        <v>2.0416666666666665</v>
      </c>
    </row>
    <row r="12" spans="2:14" ht="14.95" thickBot="1" x14ac:dyDescent="0.35">
      <c r="B12" s="59"/>
      <c r="C12" s="60"/>
      <c r="D12" s="60"/>
      <c r="E12" s="60"/>
      <c r="F12" s="60"/>
      <c r="G12" s="60"/>
      <c r="H12" s="60"/>
      <c r="I12" s="60"/>
      <c r="J12" s="60"/>
      <c r="K12" s="61" t="s">
        <v>110</v>
      </c>
      <c r="L12" s="80">
        <f>SUM(L7:L11)</f>
        <v>2273684.4285714291</v>
      </c>
      <c r="M12" s="81">
        <f>SUM(M7:M11)</f>
        <v>12325273.861111112</v>
      </c>
      <c r="N12" s="82">
        <f t="shared" si="1"/>
        <v>5.42083752091101</v>
      </c>
    </row>
    <row r="13" spans="2:14" ht="14.95" thickBot="1" x14ac:dyDescent="0.35"/>
    <row r="14" spans="2:14" ht="28.8" x14ac:dyDescent="0.3">
      <c r="B14" s="54" t="s">
        <v>111</v>
      </c>
      <c r="C14" s="55" t="s">
        <v>40</v>
      </c>
      <c r="D14" s="55" t="s">
        <v>59</v>
      </c>
      <c r="E14" s="55" t="s">
        <v>60</v>
      </c>
      <c r="F14" s="55" t="s">
        <v>98</v>
      </c>
      <c r="G14" s="55" t="s">
        <v>99</v>
      </c>
      <c r="H14" s="55" t="s">
        <v>62</v>
      </c>
      <c r="I14" s="55" t="s">
        <v>56</v>
      </c>
      <c r="J14" s="55" t="s">
        <v>55</v>
      </c>
      <c r="K14" s="55" t="s">
        <v>57</v>
      </c>
      <c r="L14" s="55" t="s">
        <v>105</v>
      </c>
      <c r="M14" s="55" t="s">
        <v>106</v>
      </c>
      <c r="N14" s="56" t="s">
        <v>107</v>
      </c>
    </row>
    <row r="15" spans="2:14" ht="23.95" customHeight="1" x14ac:dyDescent="0.3">
      <c r="B15" s="62" t="s">
        <v>109</v>
      </c>
      <c r="C15" s="79" t="s">
        <v>47</v>
      </c>
      <c r="D15" s="41" t="s">
        <v>7</v>
      </c>
      <c r="E15" s="43" t="s">
        <v>63</v>
      </c>
      <c r="F15" s="42">
        <v>75</v>
      </c>
      <c r="G15" s="42">
        <f>F15/E4</f>
        <v>166.66666666666666</v>
      </c>
      <c r="H15" s="29" t="s">
        <v>65</v>
      </c>
      <c r="I15" s="30">
        <v>121</v>
      </c>
      <c r="J15" s="31">
        <v>0.08</v>
      </c>
      <c r="K15" s="40">
        <f>I15/J15</f>
        <v>1512.5</v>
      </c>
      <c r="L15" s="48">
        <f>G15*H4</f>
        <v>1687500</v>
      </c>
      <c r="M15" s="78">
        <f>K15*H4</f>
        <v>15314062.5</v>
      </c>
      <c r="N15" s="58">
        <f>M15/L15</f>
        <v>9.0749999999999993</v>
      </c>
    </row>
    <row r="16" spans="2:14" ht="23.95" customHeight="1" x14ac:dyDescent="0.3">
      <c r="B16" s="62"/>
      <c r="C16" s="79" t="s">
        <v>22</v>
      </c>
      <c r="D16" s="41" t="s">
        <v>66</v>
      </c>
      <c r="E16" s="43" t="s">
        <v>67</v>
      </c>
      <c r="F16" s="42">
        <v>50</v>
      </c>
      <c r="G16" s="42">
        <f>F16/E4</f>
        <v>111.11111111111111</v>
      </c>
      <c r="H16" s="29" t="s">
        <v>69</v>
      </c>
      <c r="I16" s="30">
        <v>90</v>
      </c>
      <c r="J16" s="31">
        <v>0.12</v>
      </c>
      <c r="K16" s="40">
        <f t="shared" ref="K16:K18" si="2">I16/J16</f>
        <v>750</v>
      </c>
      <c r="L16" s="48">
        <f>G16*I4</f>
        <v>375000</v>
      </c>
      <c r="M16" s="78">
        <f>K16*I4</f>
        <v>2531250</v>
      </c>
      <c r="N16" s="58">
        <f t="shared" ref="N16:N20" si="3">M16/L16</f>
        <v>6.75</v>
      </c>
    </row>
    <row r="17" spans="2:14" ht="23.95" customHeight="1" x14ac:dyDescent="0.3">
      <c r="B17" s="62"/>
      <c r="C17" s="79" t="s">
        <v>21</v>
      </c>
      <c r="D17" s="41" t="s">
        <v>70</v>
      </c>
      <c r="E17" s="43" t="s">
        <v>63</v>
      </c>
      <c r="F17" s="42">
        <v>105</v>
      </c>
      <c r="G17" s="42">
        <f>F17/E4</f>
        <v>233.33333333333331</v>
      </c>
      <c r="H17" s="29" t="s">
        <v>72</v>
      </c>
      <c r="I17" s="30">
        <v>40</v>
      </c>
      <c r="J17" s="31">
        <v>0.1</v>
      </c>
      <c r="K17" s="40">
        <f t="shared" si="2"/>
        <v>400</v>
      </c>
      <c r="L17" s="48">
        <f>G17*J4</f>
        <v>0</v>
      </c>
      <c r="M17" s="78">
        <f>K17*J4</f>
        <v>0</v>
      </c>
      <c r="N17" s="58">
        <v>0</v>
      </c>
    </row>
    <row r="18" spans="2:14" ht="23.95" customHeight="1" x14ac:dyDescent="0.3">
      <c r="B18" s="62"/>
      <c r="C18" s="79" t="s">
        <v>51</v>
      </c>
      <c r="D18" s="41" t="s">
        <v>70</v>
      </c>
      <c r="E18" s="43" t="s">
        <v>63</v>
      </c>
      <c r="F18" s="42">
        <v>98</v>
      </c>
      <c r="G18" s="42">
        <f>F18/E4</f>
        <v>217.77777777777777</v>
      </c>
      <c r="H18" s="29" t="s">
        <v>74</v>
      </c>
      <c r="I18" s="30">
        <v>40</v>
      </c>
      <c r="J18" s="31">
        <v>0.09</v>
      </c>
      <c r="K18" s="40">
        <f t="shared" si="2"/>
        <v>444.44444444444446</v>
      </c>
      <c r="L18" s="48">
        <f>G18*K4</f>
        <v>0</v>
      </c>
      <c r="M18" s="78">
        <f>K18*K4</f>
        <v>0</v>
      </c>
      <c r="N18" s="58">
        <v>0</v>
      </c>
    </row>
    <row r="19" spans="2:14" ht="23.95" customHeight="1" x14ac:dyDescent="0.3">
      <c r="B19" s="62"/>
      <c r="C19" s="79" t="s">
        <v>53</v>
      </c>
      <c r="D19" s="41" t="s">
        <v>75</v>
      </c>
      <c r="E19" s="43" t="s">
        <v>76</v>
      </c>
      <c r="F19" s="42">
        <v>30</v>
      </c>
      <c r="G19" s="42">
        <f>F19/E4</f>
        <v>66.666666666666671</v>
      </c>
      <c r="H19" s="29" t="s">
        <v>78</v>
      </c>
      <c r="I19" s="30">
        <v>25</v>
      </c>
      <c r="J19" s="33">
        <f>1/7</f>
        <v>0.14285714285714285</v>
      </c>
      <c r="K19" s="40">
        <f>I19/J19</f>
        <v>175</v>
      </c>
      <c r="L19" s="48">
        <f>G19*G4</f>
        <v>36666.666666666672</v>
      </c>
      <c r="M19" s="78">
        <f>K19*G4</f>
        <v>96250</v>
      </c>
      <c r="N19" s="58">
        <f t="shared" si="3"/>
        <v>2.6249999999999996</v>
      </c>
    </row>
    <row r="20" spans="2:14" ht="14.95" thickBot="1" x14ac:dyDescent="0.35">
      <c r="B20" s="63"/>
      <c r="C20" s="60"/>
      <c r="D20" s="60"/>
      <c r="E20" s="60"/>
      <c r="F20" s="60"/>
      <c r="G20" s="60"/>
      <c r="H20" s="60"/>
      <c r="I20" s="60"/>
      <c r="J20" s="60"/>
      <c r="K20" s="61" t="s">
        <v>110</v>
      </c>
      <c r="L20" s="80">
        <f>SUM(L15:L19)</f>
        <v>2099166.6666666665</v>
      </c>
      <c r="M20" s="81">
        <f>SUM(M15:M19)</f>
        <v>17941562.5</v>
      </c>
      <c r="N20" s="82">
        <f t="shared" si="3"/>
        <v>8.5469928543072662</v>
      </c>
    </row>
  </sheetData>
  <mergeCells count="2">
    <mergeCell ref="B7:B11"/>
    <mergeCell ref="B15:B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9E3D-E478-4EB6-A8D0-9DF80CDE481F}">
  <dimension ref="B2:I22"/>
  <sheetViews>
    <sheetView tabSelected="1" workbookViewId="0">
      <selection sqref="A1:J23"/>
    </sheetView>
  </sheetViews>
  <sheetFormatPr defaultRowHeight="14.4" x14ac:dyDescent="0.3"/>
  <cols>
    <col min="1" max="1" width="3" customWidth="1"/>
    <col min="2" max="2" width="31.296875" customWidth="1"/>
    <col min="3" max="3" width="19.69921875" customWidth="1"/>
    <col min="4" max="4" width="4.19921875" customWidth="1"/>
    <col min="5" max="5" width="3.296875" customWidth="1"/>
    <col min="6" max="6" width="22.8984375" customWidth="1"/>
    <col min="7" max="7" width="88.8984375" customWidth="1"/>
    <col min="9" max="9" width="22.59765625" customWidth="1"/>
    <col min="10" max="10" width="2.8984375" customWidth="1"/>
  </cols>
  <sheetData>
    <row r="2" spans="2:9" x14ac:dyDescent="0.3">
      <c r="B2" s="3" t="s">
        <v>127</v>
      </c>
      <c r="C2" s="3"/>
      <c r="E2" s="39"/>
      <c r="F2" s="3" t="s">
        <v>128</v>
      </c>
      <c r="G2" s="3"/>
      <c r="H2" s="90"/>
      <c r="I2" s="39"/>
    </row>
    <row r="3" spans="2:9" x14ac:dyDescent="0.3">
      <c r="B3" s="88" t="s">
        <v>118</v>
      </c>
      <c r="C3" s="84">
        <v>900000</v>
      </c>
      <c r="E3" s="87"/>
      <c r="F3" s="87" t="s">
        <v>130</v>
      </c>
      <c r="G3" s="87" t="s">
        <v>131</v>
      </c>
      <c r="H3" s="91" t="s">
        <v>134</v>
      </c>
      <c r="I3" s="87" t="s">
        <v>135</v>
      </c>
    </row>
    <row r="4" spans="2:9" x14ac:dyDescent="0.3">
      <c r="B4" s="88" t="s">
        <v>119</v>
      </c>
      <c r="C4" s="84">
        <v>12000000</v>
      </c>
      <c r="E4" s="83">
        <v>1</v>
      </c>
      <c r="F4" s="83" t="s">
        <v>129</v>
      </c>
      <c r="G4" s="83" t="s">
        <v>133</v>
      </c>
      <c r="H4" s="92">
        <v>35</v>
      </c>
      <c r="I4" s="86">
        <f>17000000/12</f>
        <v>1416666.6666666667</v>
      </c>
    </row>
    <row r="5" spans="2:9" x14ac:dyDescent="0.3">
      <c r="B5" s="88" t="s">
        <v>120</v>
      </c>
      <c r="C5" s="84">
        <v>50000</v>
      </c>
      <c r="E5" s="83">
        <v>2</v>
      </c>
      <c r="F5" s="83" t="s">
        <v>136</v>
      </c>
      <c r="G5" s="83" t="s">
        <v>137</v>
      </c>
      <c r="H5" s="92">
        <v>3</v>
      </c>
      <c r="I5" s="86">
        <f>9000000/12</f>
        <v>750000</v>
      </c>
    </row>
    <row r="6" spans="2:9" x14ac:dyDescent="0.3">
      <c r="B6" s="88" t="s">
        <v>121</v>
      </c>
      <c r="C6" s="85">
        <v>220</v>
      </c>
      <c r="E6" s="83">
        <v>3</v>
      </c>
      <c r="F6" s="83" t="s">
        <v>138</v>
      </c>
      <c r="G6" s="83" t="s">
        <v>139</v>
      </c>
      <c r="H6" s="92">
        <v>3</v>
      </c>
      <c r="I6" s="86">
        <f>30000000/12</f>
        <v>2500000</v>
      </c>
    </row>
    <row r="7" spans="2:9" x14ac:dyDescent="0.3">
      <c r="B7" s="88" t="s">
        <v>122</v>
      </c>
      <c r="C7" s="85" t="s">
        <v>115</v>
      </c>
      <c r="E7" s="83">
        <v>4</v>
      </c>
      <c r="F7" s="83" t="s">
        <v>140</v>
      </c>
      <c r="G7" s="83" t="s">
        <v>141</v>
      </c>
      <c r="H7" s="92">
        <v>2</v>
      </c>
      <c r="I7" s="89">
        <f>2000000/12</f>
        <v>166666.66666666666</v>
      </c>
    </row>
    <row r="8" spans="2:9" x14ac:dyDescent="0.3">
      <c r="B8" s="88" t="s">
        <v>123</v>
      </c>
      <c r="C8" s="85" t="s">
        <v>116</v>
      </c>
      <c r="E8" s="83">
        <v>5</v>
      </c>
      <c r="F8" s="83" t="s">
        <v>143</v>
      </c>
      <c r="G8" s="83" t="s">
        <v>148</v>
      </c>
      <c r="H8" s="92">
        <v>6</v>
      </c>
      <c r="I8" s="86">
        <v>350000</v>
      </c>
    </row>
    <row r="9" spans="2:9" x14ac:dyDescent="0.3">
      <c r="B9" s="88" t="s">
        <v>124</v>
      </c>
      <c r="C9" s="85" t="s">
        <v>126</v>
      </c>
      <c r="E9" s="83">
        <v>6</v>
      </c>
      <c r="F9" s="83" t="s">
        <v>144</v>
      </c>
      <c r="G9" s="83" t="s">
        <v>149</v>
      </c>
      <c r="H9" s="92">
        <v>6</v>
      </c>
      <c r="I9" s="86">
        <v>2000000</v>
      </c>
    </row>
    <row r="10" spans="2:9" ht="14.4" customHeight="1" x14ac:dyDescent="0.3">
      <c r="B10" s="88" t="s">
        <v>125</v>
      </c>
      <c r="C10" s="85" t="s">
        <v>117</v>
      </c>
      <c r="E10" s="83">
        <v>7</v>
      </c>
      <c r="F10" s="83" t="s">
        <v>142</v>
      </c>
      <c r="G10" s="93" t="s">
        <v>150</v>
      </c>
      <c r="H10" s="92">
        <v>8</v>
      </c>
      <c r="I10" s="86">
        <v>4000000</v>
      </c>
    </row>
    <row r="11" spans="2:9" x14ac:dyDescent="0.3">
      <c r="B11" s="88" t="s">
        <v>25</v>
      </c>
      <c r="C11" s="7">
        <v>145000</v>
      </c>
      <c r="E11" s="83">
        <v>8</v>
      </c>
      <c r="F11" s="83" t="s">
        <v>145</v>
      </c>
      <c r="G11" s="83" t="s">
        <v>146</v>
      </c>
      <c r="H11" s="92">
        <v>8</v>
      </c>
      <c r="I11" s="86">
        <v>400000</v>
      </c>
    </row>
    <row r="12" spans="2:9" x14ac:dyDescent="0.3">
      <c r="B12" s="111" t="s">
        <v>156</v>
      </c>
      <c r="C12" s="8">
        <v>0.85</v>
      </c>
      <c r="E12" s="117"/>
      <c r="F12" s="117" t="s">
        <v>147</v>
      </c>
      <c r="G12" s="117"/>
      <c r="H12" s="118">
        <f>SUM(H4:H11)</f>
        <v>71</v>
      </c>
      <c r="I12" s="119">
        <f>SUM(I4:I11)</f>
        <v>11583333.333333334</v>
      </c>
    </row>
    <row r="13" spans="2:9" x14ac:dyDescent="0.3">
      <c r="B13" s="111" t="s">
        <v>158</v>
      </c>
      <c r="C13" s="8">
        <v>0.08</v>
      </c>
      <c r="E13" s="3"/>
      <c r="F13" s="3" t="s">
        <v>151</v>
      </c>
      <c r="G13" s="3"/>
      <c r="H13" s="3"/>
      <c r="I13" s="108"/>
    </row>
    <row r="14" spans="2:9" x14ac:dyDescent="0.3">
      <c r="B14" s="111" t="s">
        <v>157</v>
      </c>
      <c r="C14" s="8">
        <v>0.04</v>
      </c>
      <c r="E14" s="109"/>
      <c r="F14" s="109" t="s">
        <v>130</v>
      </c>
      <c r="G14" s="109" t="s">
        <v>131</v>
      </c>
      <c r="H14" s="109"/>
      <c r="I14" s="110" t="s">
        <v>152</v>
      </c>
    </row>
    <row r="15" spans="2:9" x14ac:dyDescent="0.3">
      <c r="B15" s="111" t="s">
        <v>159</v>
      </c>
      <c r="C15" s="9">
        <v>0.03</v>
      </c>
      <c r="E15" s="83">
        <v>1</v>
      </c>
      <c r="F15" s="83" t="s">
        <v>153</v>
      </c>
      <c r="G15" s="83"/>
      <c r="H15" s="83"/>
      <c r="I15" s="86">
        <f>SUM(I16:I19)</f>
        <v>16363250</v>
      </c>
    </row>
    <row r="16" spans="2:9" x14ac:dyDescent="0.3">
      <c r="B16" s="111" t="s">
        <v>160</v>
      </c>
      <c r="C16" s="112">
        <v>0.01</v>
      </c>
      <c r="E16" s="114" t="s">
        <v>132</v>
      </c>
      <c r="F16" s="115" t="s">
        <v>20</v>
      </c>
      <c r="G16" s="83"/>
      <c r="H16" s="83"/>
      <c r="I16" s="86">
        <f>C11*C12*'Marketing Budget Optimizer'!I7</f>
        <v>14913250</v>
      </c>
    </row>
    <row r="17" spans="5:9" x14ac:dyDescent="0.3">
      <c r="E17" s="114" t="s">
        <v>161</v>
      </c>
      <c r="F17" s="115" t="s">
        <v>22</v>
      </c>
      <c r="G17" s="83"/>
      <c r="H17" s="83"/>
      <c r="I17" s="86">
        <f>C11*C13*'Marketing Budget Optimizer'!I8</f>
        <v>1044000</v>
      </c>
    </row>
    <row r="18" spans="5:9" x14ac:dyDescent="0.3">
      <c r="E18" s="114" t="s">
        <v>162</v>
      </c>
      <c r="F18" s="116" t="s">
        <v>51</v>
      </c>
      <c r="G18" s="113"/>
      <c r="H18" s="113"/>
      <c r="I18" s="89">
        <f>C11*C15*'Marketing Budget Optimizer'!I10</f>
        <v>174000</v>
      </c>
    </row>
    <row r="19" spans="5:9" x14ac:dyDescent="0.3">
      <c r="E19" s="114" t="s">
        <v>163</v>
      </c>
      <c r="F19" s="115" t="s">
        <v>21</v>
      </c>
      <c r="G19" s="83"/>
      <c r="H19" s="83"/>
      <c r="I19" s="86">
        <f>C11*C14*'Marketing Budget Optimizer'!I9</f>
        <v>232000</v>
      </c>
    </row>
    <row r="20" spans="5:9" x14ac:dyDescent="0.3">
      <c r="E20" s="83">
        <v>2</v>
      </c>
      <c r="F20" s="83" t="s">
        <v>155</v>
      </c>
      <c r="G20" s="83"/>
      <c r="H20" s="83"/>
      <c r="I20" s="86">
        <f>C11*C16*0.8*'Marketing Budget Optimizer'!I11</f>
        <v>29000</v>
      </c>
    </row>
    <row r="21" spans="5:9" x14ac:dyDescent="0.3">
      <c r="E21" s="83">
        <v>3</v>
      </c>
      <c r="F21" s="83" t="s">
        <v>154</v>
      </c>
      <c r="G21" s="83"/>
      <c r="H21" s="83"/>
      <c r="I21" s="86">
        <f>C11*C16*0.2*('Marketing Budget Optimizer'!I11+20)</f>
        <v>13050</v>
      </c>
    </row>
    <row r="22" spans="5:9" x14ac:dyDescent="0.3">
      <c r="E22" s="117"/>
      <c r="F22" s="117" t="s">
        <v>147</v>
      </c>
      <c r="G22" s="117"/>
      <c r="H22" s="117"/>
      <c r="I22" s="119">
        <f>SUM(I15,I20,I21)</f>
        <v>16405300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novos_usuarios_ult-7-meses</vt:lpstr>
      <vt:lpstr>planos-assinados-ult-7-meses</vt:lpstr>
      <vt:lpstr>assinantes-ativos-mensais</vt:lpstr>
      <vt:lpstr>TOFU + BOFU Metrics</vt:lpstr>
      <vt:lpstr>Funnel Analytics</vt:lpstr>
      <vt:lpstr>Marketing Budget Optimizer</vt:lpstr>
      <vt:lpstr>PNL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Paula Costa Corte-Real</cp:lastModifiedBy>
  <dcterms:created xsi:type="dcterms:W3CDTF">2026-04-23T10:41:05Z</dcterms:created>
  <dcterms:modified xsi:type="dcterms:W3CDTF">2026-04-25T11:33:16Z</dcterms:modified>
</cp:coreProperties>
</file>